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pitiboy/Work/dev/_priv/curr/docs/honline.export/"/>
    </mc:Choice>
  </mc:AlternateContent>
  <xr:revisionPtr revIDLastSave="0" documentId="13_ncr:1_{E869C710-DD4A-7D4B-B337-84EC0517B37F}" xr6:coauthVersionLast="47" xr6:coauthVersionMax="47" xr10:uidLastSave="{00000000-0000-0000-0000-000000000000}"/>
  <bookViews>
    <workbookView xWindow="1160" yWindow="500" windowWidth="32320" windowHeight="19020" tabRatio="500" activeTab="5" xr2:uid="{00000000-000D-0000-FFFF-FFFF00000000}"/>
  </bookViews>
  <sheets>
    <sheet name="Sheet2" sheetId="5" r:id="rId1"/>
    <sheet name="journal entries" sheetId="1" r:id="rId2"/>
    <sheet name="számlák" sheetId="3" r:id="rId3"/>
    <sheet name="tranzakciók" sheetId="4" r:id="rId4"/>
    <sheet name="számlarend" sheetId="2" r:id="rId5"/>
    <sheet name="Strapi.trx" sheetId="6" r:id="rId6"/>
  </sheets>
  <definedNames>
    <definedName name="_xlnm._FilterDatabase" localSheetId="1" hidden="1">'journal entries'!$A$1:$F$323</definedName>
    <definedName name="_xlnm._FilterDatabase" localSheetId="2" hidden="1">számlák!$A$1:$I$115</definedName>
    <definedName name="_xlnm._FilterDatabase" localSheetId="4" hidden="1">számlarend!$A$1:$D$274</definedName>
    <definedName name="_xlnm._FilterDatabase" localSheetId="3" hidden="1">tranzakciók!$A$1:$I$107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2" i="1"/>
</calcChain>
</file>

<file path=xl/sharedStrings.xml><?xml version="1.0" encoding="utf-8"?>
<sst xmlns="http://schemas.openxmlformats.org/spreadsheetml/2006/main" count="2707" uniqueCount="648">
  <si>
    <t>Értéknap</t>
  </si>
  <si>
    <t>Oldal</t>
  </si>
  <si>
    <t>Összeg</t>
  </si>
  <si>
    <t>tranzakció Egyedi azonosító</t>
  </si>
  <si>
    <t>---</t>
  </si>
  <si>
    <t>2025.11.05</t>
  </si>
  <si>
    <t>T</t>
  </si>
  <si>
    <t>SZ/SZAL/4/2025</t>
  </si>
  <si>
    <t>K</t>
  </si>
  <si>
    <t>2025.10.31</t>
  </si>
  <si>
    <t>NY/SZAL/45/2025</t>
  </si>
  <si>
    <t>NY/SZAL/46/2025</t>
  </si>
  <si>
    <t>2025.10.23</t>
  </si>
  <si>
    <t>NY/VEV/11/2025</t>
  </si>
  <si>
    <t>2025.10.20</t>
  </si>
  <si>
    <t>FIZ/SZAL/3/2025</t>
  </si>
  <si>
    <t>FIZ/SZAL/4/2025</t>
  </si>
  <si>
    <t>2025.10.18</t>
  </si>
  <si>
    <t>ATV/2/2025</t>
  </si>
  <si>
    <t>2025.10.16</t>
  </si>
  <si>
    <t>NY/SZAL/28/2025</t>
  </si>
  <si>
    <t>NY/VEV/9/2025</t>
  </si>
  <si>
    <t>NY/VEV/10/2025</t>
  </si>
  <si>
    <t>2025.10.10</t>
  </si>
  <si>
    <t>NY/SZAL/27/2025</t>
  </si>
  <si>
    <t>NY/SZAL/29/2025</t>
  </si>
  <si>
    <t>SZ/SZAL/5/2025</t>
  </si>
  <si>
    <t>2025.09.30</t>
  </si>
  <si>
    <t>NY/SZAL/39/2025</t>
  </si>
  <si>
    <t>NY/VEV/8/2025</t>
  </si>
  <si>
    <t>2025.09.18</t>
  </si>
  <si>
    <t>NY/SZAL/37/2025</t>
  </si>
  <si>
    <t>2025.09.17</t>
  </si>
  <si>
    <t>NY/SZAL/40/2025</t>
  </si>
  <si>
    <t>2025.08.29</t>
  </si>
  <si>
    <t>NY/SZAL/38/2025</t>
  </si>
  <si>
    <t>2025.08.15</t>
  </si>
  <si>
    <t>NY/SZAL/36/2025</t>
  </si>
  <si>
    <t>2025.08.04</t>
  </si>
  <si>
    <t>NY/SZAL/30/2025</t>
  </si>
  <si>
    <t>2025.07.31</t>
  </si>
  <si>
    <t>NY/SZAL/32/2025</t>
  </si>
  <si>
    <t>NY/SZAL/33/2025</t>
  </si>
  <si>
    <t>2025.07.28</t>
  </si>
  <si>
    <t>NY/SZAL/35/2025</t>
  </si>
  <si>
    <t>2025.07.17</t>
  </si>
  <si>
    <t>NY/SZAL/31/2025</t>
  </si>
  <si>
    <t>NY/SZAL/34/2025</t>
  </si>
  <si>
    <t>2025.07.16</t>
  </si>
  <si>
    <t>NY/SZAL/21/2025</t>
  </si>
  <si>
    <t>NY/SZAL/22/2025</t>
  </si>
  <si>
    <t>NY/SZAL/23/2025</t>
  </si>
  <si>
    <t>NY/SZAL/24/2025</t>
  </si>
  <si>
    <t>2025.06.30</t>
  </si>
  <si>
    <t>NY/SZAL/43/2025</t>
  </si>
  <si>
    <t>NY/SZAL/44/2025</t>
  </si>
  <si>
    <t>NY/VEV/12/2025</t>
  </si>
  <si>
    <t>2025.06.26</t>
  </si>
  <si>
    <t>NY/SZAL/42/2025</t>
  </si>
  <si>
    <t>2025.06.13</t>
  </si>
  <si>
    <t>NY/SZAL/41/2025</t>
  </si>
  <si>
    <t>2025.06.04</t>
  </si>
  <si>
    <t>FIZ/SZAL/2/2025</t>
  </si>
  <si>
    <t>2025.05.30</t>
  </si>
  <si>
    <t>NY/SZAL/20/2025</t>
  </si>
  <si>
    <t>2025.05.27</t>
  </si>
  <si>
    <t>SZ/SZAL/3/2025</t>
  </si>
  <si>
    <t>2025.05.16</t>
  </si>
  <si>
    <t>NY/SZAL/19/2025</t>
  </si>
  <si>
    <t>2025.05.12</t>
  </si>
  <si>
    <t>NY/SZAL/18/2025</t>
  </si>
  <si>
    <t>2025.05.08</t>
  </si>
  <si>
    <t>NY/SZAL/26/2025</t>
  </si>
  <si>
    <t>2025.04.30</t>
  </si>
  <si>
    <t>NY/SZAL/16/2025</t>
  </si>
  <si>
    <t>2025.04.28</t>
  </si>
  <si>
    <t>NY/SZAL/17/2025</t>
  </si>
  <si>
    <t>2025.03.31</t>
  </si>
  <si>
    <t>NY/VEV/7/2025</t>
  </si>
  <si>
    <t>NY/SZAL/14/2025</t>
  </si>
  <si>
    <t>NY/SZAL/15/2025</t>
  </si>
  <si>
    <t>2025.03.28</t>
  </si>
  <si>
    <t>NY/SZAL/25/2025</t>
  </si>
  <si>
    <t>2025.03.14</t>
  </si>
  <si>
    <t>NY/SZAL/13/2025</t>
  </si>
  <si>
    <t>2025.03.13</t>
  </si>
  <si>
    <t>FIZ/SZAL/1/2025</t>
  </si>
  <si>
    <t>2025.03.12</t>
  </si>
  <si>
    <t>SZ/SZAL/2/2025</t>
  </si>
  <si>
    <t>2025.02.28</t>
  </si>
  <si>
    <t>VEGY/6/2025</t>
  </si>
  <si>
    <t>NY/SZAL/11/2025</t>
  </si>
  <si>
    <t>NY/SZAL/12/2025</t>
  </si>
  <si>
    <t>2025.02.25</t>
  </si>
  <si>
    <t>FIZ/DIJ/17/2025</t>
  </si>
  <si>
    <t>NY/SZAL/8/2025</t>
  </si>
  <si>
    <t>2025.02.24</t>
  </si>
  <si>
    <t>FIZ/DIJ/16/2025</t>
  </si>
  <si>
    <t>2025.02.21</t>
  </si>
  <si>
    <t>FIZ/DIJ/15/2025</t>
  </si>
  <si>
    <t>FIZ/DIJ/18/2025</t>
  </si>
  <si>
    <t>NY/SZAL/7/2025</t>
  </si>
  <si>
    <t>2025.02.20</t>
  </si>
  <si>
    <t>FIZ/DIJ/14/2025</t>
  </si>
  <si>
    <t>2025.01.31</t>
  </si>
  <si>
    <t>NY/SZAL/6/2025</t>
  </si>
  <si>
    <t>2025.01.16</t>
  </si>
  <si>
    <t>SZ/DIJ/7/2025</t>
  </si>
  <si>
    <t>SZ/DIJ/8/2025</t>
  </si>
  <si>
    <t>SZ/DIJ/9/2025</t>
  </si>
  <si>
    <t>SZ/DIJ/10/2025</t>
  </si>
  <si>
    <t>SZ/SZAL/1/2025</t>
  </si>
  <si>
    <t>SZ/SZAL/1/2025/STORNO</t>
  </si>
  <si>
    <t>2025.01.06</t>
  </si>
  <si>
    <t>FIZ/DIJ/19/2025</t>
  </si>
  <si>
    <t>FIZ/DIJ/19/2025/STORNO</t>
  </si>
  <si>
    <t>2025.01.05</t>
  </si>
  <si>
    <t>NY/SZAL/10/2025</t>
  </si>
  <si>
    <t>FIZ/DIJ/21/2025</t>
  </si>
  <si>
    <t>NY/SZAL/10/2025/STORNO</t>
  </si>
  <si>
    <t>2025.01.01</t>
  </si>
  <si>
    <t>VEGY/5/2025</t>
  </si>
  <si>
    <t>2024.12.31</t>
  </si>
  <si>
    <t>NY/SZAL/2/2025</t>
  </si>
  <si>
    <t>NY/SZAL/3/2025</t>
  </si>
  <si>
    <t>NY/VEV/2/2025</t>
  </si>
  <si>
    <t>VEGY/1/2025</t>
  </si>
  <si>
    <t>VEGY/2/2025</t>
  </si>
  <si>
    <t>VEGY/4/2025</t>
  </si>
  <si>
    <t>VEGY/4/2025/STORNO</t>
  </si>
  <si>
    <t>2024.12.23</t>
  </si>
  <si>
    <t>ATV/1/2025</t>
  </si>
  <si>
    <t>NY/SZAL/1/2025</t>
  </si>
  <si>
    <t>NY/VEV/1/2025</t>
  </si>
  <si>
    <t>2024.12.21</t>
  </si>
  <si>
    <t>NY/SZAL/9/2025</t>
  </si>
  <si>
    <t>2024.12.20</t>
  </si>
  <si>
    <t>NY/VEV/3/2025</t>
  </si>
  <si>
    <t>NY/VEV/4/2025</t>
  </si>
  <si>
    <t>NY/VEV/5/2025</t>
  </si>
  <si>
    <t>NY/VEV/6/2025</t>
  </si>
  <si>
    <t>2024.12.14</t>
  </si>
  <si>
    <t>SZ/DIJ/1/2025</t>
  </si>
  <si>
    <t>SZ/DIJ/2/2025</t>
  </si>
  <si>
    <t>SZ/DIJ/3/2025</t>
  </si>
  <si>
    <t>SZ/DIJ/4/2025</t>
  </si>
  <si>
    <t>SZ/DIJ/5/2025</t>
  </si>
  <si>
    <t>SZ/DIJ/6/2025</t>
  </si>
  <si>
    <t>SZ/DIJ/11/2025</t>
  </si>
  <si>
    <t>SZ/DIJ/12/2025</t>
  </si>
  <si>
    <t>SZ/DIJ/13/2025</t>
  </si>
  <si>
    <t>SZ/DIJ/14/2025</t>
  </si>
  <si>
    <t>SZ/DIJ/15/2025</t>
  </si>
  <si>
    <t>SZ/DIJ/16/2025</t>
  </si>
  <si>
    <t>2024.12.11</t>
  </si>
  <si>
    <t>FIZ/DIJ/1/2025</t>
  </si>
  <si>
    <t>FIZ/DIJ/3/2025</t>
  </si>
  <si>
    <t>FIZ/DIJ/4/2025</t>
  </si>
  <si>
    <t>FIZ/DIJ/5/2025</t>
  </si>
  <si>
    <t>FIZ/DIJ/6/2025</t>
  </si>
  <si>
    <t>FIZ/DIJ/8/2025</t>
  </si>
  <si>
    <t>FIZ/DIJ/9/2025</t>
  </si>
  <si>
    <t>FIZ/DIJ/10/2025</t>
  </si>
  <si>
    <t>FIZ/DIJ/11/2025</t>
  </si>
  <si>
    <t>FIZ/DIJ/12/2025</t>
  </si>
  <si>
    <t>FIZ/DIJ/20/2025</t>
  </si>
  <si>
    <t>2024.12.10</t>
  </si>
  <si>
    <t>NY/SZAL/4/2025</t>
  </si>
  <si>
    <t>FIZ/DIJ/2/2025</t>
  </si>
  <si>
    <t>NY/SZAL/5/2025</t>
  </si>
  <si>
    <t>FIZ/DIJ/7/2025</t>
  </si>
  <si>
    <t>VEGY/3/2025</t>
  </si>
  <si>
    <t>FIZ/DIJ/13/2025</t>
  </si>
  <si>
    <t>VEGY/3/2025/STORNO</t>
  </si>
  <si>
    <t>FIZ/DIJ/13/2025/STORNO</t>
  </si>
  <si>
    <t>Kód</t>
  </si>
  <si>
    <t>Elnevezés</t>
  </si>
  <si>
    <t>Gyűjtő</t>
  </si>
  <si>
    <t>Számla típus</t>
  </si>
  <si>
    <t>Technikai Számlák</t>
  </si>
  <si>
    <t>Technikai</t>
  </si>
  <si>
    <t>BEFEKTETETT ESZKÖZÖK</t>
  </si>
  <si>
    <t>Eszköz</t>
  </si>
  <si>
    <t>INGATLANOK ÉS KAPCSOLÓDÓ VAGYONI ÉRTÉKŰ JOGOK</t>
  </si>
  <si>
    <t>Földterület</t>
  </si>
  <si>
    <t>Telek</t>
  </si>
  <si>
    <t>Épület</t>
  </si>
  <si>
    <t>Ingatlanok homály érték növekedése</t>
  </si>
  <si>
    <t>Műszaki berendezések</t>
  </si>
  <si>
    <t>Egyéb berendezésekberendezések</t>
  </si>
  <si>
    <t>Beruházások</t>
  </si>
  <si>
    <t>Hitelviszonyt metestesítő értékpapírok</t>
  </si>
  <si>
    <t>TARTÓSAN ADOTT KÖLCSÖNÖK</t>
  </si>
  <si>
    <t>Tagoknak adott kölcsönök</t>
  </si>
  <si>
    <t>Földvásárlásra adott kölcsönök</t>
  </si>
  <si>
    <t>KÉSZLETEK</t>
  </si>
  <si>
    <t>Anyagok</t>
  </si>
  <si>
    <t>Közvetített szolgáltatások</t>
  </si>
  <si>
    <t>Követelések</t>
  </si>
  <si>
    <t>Vevők</t>
  </si>
  <si>
    <t>Követelés</t>
  </si>
  <si>
    <t>Követelések Albetétekkel Szemben</t>
  </si>
  <si>
    <t>Közös költség előírás</t>
  </si>
  <si>
    <t>Fogyasztás előírás</t>
  </si>
  <si>
    <t>Hidegvíz előírás</t>
  </si>
  <si>
    <t>Melegvíz előírás</t>
  </si>
  <si>
    <t>Csatornadíj előírás</t>
  </si>
  <si>
    <t>Fűtési díj előírás</t>
  </si>
  <si>
    <t>Légkondícionáló előírás</t>
  </si>
  <si>
    <t>Villany fogyasztás előírás</t>
  </si>
  <si>
    <t>Egyéb fogyasztás előírás</t>
  </si>
  <si>
    <t>Földvásárlási alap előírás</t>
  </si>
  <si>
    <t>Egyéb előírás</t>
  </si>
  <si>
    <t>Rendkivüli befizetés előírás</t>
  </si>
  <si>
    <t>Tagbetét előírás</t>
  </si>
  <si>
    <t>Hátralékok</t>
  </si>
  <si>
    <t>Jelzáloggal nem terhelt hátralék</t>
  </si>
  <si>
    <t>Jelzáloggal terhelt hátralék</t>
  </si>
  <si>
    <t>Közös tulajdon hasznosításának hátraléka</t>
  </si>
  <si>
    <t>Egyéb követelések</t>
  </si>
  <si>
    <t>Pénz eszközök</t>
  </si>
  <si>
    <t>Pénztár</t>
  </si>
  <si>
    <t>Pál pénztár zsebe</t>
  </si>
  <si>
    <t>Bank</t>
  </si>
  <si>
    <t>Dániel pénztár zsebe</t>
  </si>
  <si>
    <t>Laci pénztár zsebe</t>
  </si>
  <si>
    <t>Folyószámla</t>
  </si>
  <si>
    <t>Homály pénztár</t>
  </si>
  <si>
    <t>Pál homály pénztár zsebe</t>
  </si>
  <si>
    <t>Dániel homály pénztár zsebe</t>
  </si>
  <si>
    <t>Laci homály pénztár zsebe</t>
  </si>
  <si>
    <t>Homály bankszámla</t>
  </si>
  <si>
    <t>Aktív időbeli elhatárolások</t>
  </si>
  <si>
    <t>Források</t>
  </si>
  <si>
    <t>Forrás</t>
  </si>
  <si>
    <t>Saját tőke</t>
  </si>
  <si>
    <t>Jegyzett tőke</t>
  </si>
  <si>
    <t>Eredménytartalék</t>
  </si>
  <si>
    <t>Fejlesztési tartalék</t>
  </si>
  <si>
    <t>Mérleg szerinti eredmény</t>
  </si>
  <si>
    <t>Nem azonosított tételek</t>
  </si>
  <si>
    <t>Nem azonosított bevételek</t>
  </si>
  <si>
    <t>Nem azonosított kiadások</t>
  </si>
  <si>
    <t>Hosszú lejáratú kötelezettségek</t>
  </si>
  <si>
    <t>Hosszú lejáratú bank hitel</t>
  </si>
  <si>
    <t>Beruházási és fejlesztési hitelek</t>
  </si>
  <si>
    <t>Egyéb hitel</t>
  </si>
  <si>
    <t>Rövid lejáratú kötelezettségek</t>
  </si>
  <si>
    <t>Rövid lejáratú bank Hitel</t>
  </si>
  <si>
    <t>Egyéb rövid lejáratú kötelezettségek</t>
  </si>
  <si>
    <t>Szállítók</t>
  </si>
  <si>
    <t>Tartozás</t>
  </si>
  <si>
    <t>Beruházási szállítók</t>
  </si>
  <si>
    <t>Eredményt terhelő adók elszámolása</t>
  </si>
  <si>
    <t>Társasági adó kötelezettség</t>
  </si>
  <si>
    <t>Előzetesen felszámított ÁFA</t>
  </si>
  <si>
    <t>Kiadás</t>
  </si>
  <si>
    <t>Fizetendő ÁFA</t>
  </si>
  <si>
    <t>ÁFA elszámolási számla</t>
  </si>
  <si>
    <t>Passzív időbeli elhatárolások</t>
  </si>
  <si>
    <t>Évi mérlegszámlák</t>
  </si>
  <si>
    <t>Mérleg</t>
  </si>
  <si>
    <t>Nyitómérleg számla</t>
  </si>
  <si>
    <t>Zárómérleg számla</t>
  </si>
  <si>
    <t>Adózott eredmény elszámolása</t>
  </si>
  <si>
    <t>Előző évi eredmény elszámolása</t>
  </si>
  <si>
    <t>KIADÁSOK</t>
  </si>
  <si>
    <t>Kiadások átvezetése</t>
  </si>
  <si>
    <t>Anyagköltség</t>
  </si>
  <si>
    <t>Víz díj</t>
  </si>
  <si>
    <t>Áram díj</t>
  </si>
  <si>
    <t>Gáz díj</t>
  </si>
  <si>
    <t>Irodai anyagok</t>
  </si>
  <si>
    <t>Karbantartási segédanyagok</t>
  </si>
  <si>
    <t>Égők,felszerelési anyagok</t>
  </si>
  <si>
    <t>Üzemanyag</t>
  </si>
  <si>
    <t>Egyéb anyagok</t>
  </si>
  <si>
    <t>Szolgáltatások költségei</t>
  </si>
  <si>
    <t>Csatorna díj</t>
  </si>
  <si>
    <t>Kertészet</t>
  </si>
  <si>
    <t>Biztonsági költségek</t>
  </si>
  <si>
    <t>Kártevő mentesítés</t>
  </si>
  <si>
    <t>Szemét díjak</t>
  </si>
  <si>
    <t>Szemét szállítás</t>
  </si>
  <si>
    <t>Kuka ki-be húzás</t>
  </si>
  <si>
    <t>Rendkívüli szemét szállítás</t>
  </si>
  <si>
    <t>Takarítás</t>
  </si>
  <si>
    <t>Épület takarítás</t>
  </si>
  <si>
    <t>Garázs takarítás</t>
  </si>
  <si>
    <t>Udvaros takarítás</t>
  </si>
  <si>
    <t>Nagytakarítás</t>
  </si>
  <si>
    <t>Alpin takarítás</t>
  </si>
  <si>
    <t>Szőnyeg tisztítás</t>
  </si>
  <si>
    <t>Sikosság mentesítés</t>
  </si>
  <si>
    <t>Rendkívüli takarítás</t>
  </si>
  <si>
    <t>Egyéb takarítás</t>
  </si>
  <si>
    <t>Üzemeltetés</t>
  </si>
  <si>
    <t>Közösképviseleti díj</t>
  </si>
  <si>
    <t>Könyvelési díj</t>
  </si>
  <si>
    <t>Gazdasági ellenőrzés</t>
  </si>
  <si>
    <t>Gondnokság</t>
  </si>
  <si>
    <t>Posta, nyomtatás</t>
  </si>
  <si>
    <t>Telefon, internet</t>
  </si>
  <si>
    <t>Weboldal</t>
  </si>
  <si>
    <t>Egyéb üzemeltetési költségek</t>
  </si>
  <si>
    <t>Egyéb megbízási-, vállalkozási díjak</t>
  </si>
  <si>
    <t>Adminisztratív költségek</t>
  </si>
  <si>
    <t>Biztosítás díja</t>
  </si>
  <si>
    <t>Bank költségek</t>
  </si>
  <si>
    <t>Beszedési költségek</t>
  </si>
  <si>
    <t>Jogi költségek</t>
  </si>
  <si>
    <t>Szakvélemények</t>
  </si>
  <si>
    <t>Hatósági díjak</t>
  </si>
  <si>
    <t>Pályázati költségek</t>
  </si>
  <si>
    <t>Bérleti díjak</t>
  </si>
  <si>
    <t>Bérköltség</t>
  </si>
  <si>
    <t>Karbantartások, javítások</t>
  </si>
  <si>
    <t>Tűzvédelmi rendszer</t>
  </si>
  <si>
    <t>Hő- és füstelvezető rendszer</t>
  </si>
  <si>
    <t>Hő- és füstelvezető rendszer karbantartás</t>
  </si>
  <si>
    <t>Hő- és füstelvezető rendszer javítás</t>
  </si>
  <si>
    <t>Tűzjelző rendszer</t>
  </si>
  <si>
    <t>Tűzjelző rendszer karbantartás</t>
  </si>
  <si>
    <t>Tűzjelző rendszer javítás</t>
  </si>
  <si>
    <t>CO rendszer</t>
  </si>
  <si>
    <t>CO rendszer karbantartás</t>
  </si>
  <si>
    <t>CO rendszer javítás</t>
  </si>
  <si>
    <t>Tűzoltó készülékek és fali tűzcsapok</t>
  </si>
  <si>
    <t>Tűzoltó készülékek és fali tűzcsapok karbantartása</t>
  </si>
  <si>
    <t>Tűzoltó készülékek javítása, cseréje</t>
  </si>
  <si>
    <t>Tüzivíz nyomásfokozó szivattyú</t>
  </si>
  <si>
    <t>Tüzivíz nyomásfokozó szivattyú karbantartás</t>
  </si>
  <si>
    <t>Tüzivíz nyomásfokozó szivattyú javítás</t>
  </si>
  <si>
    <t>Tűzgátló ajtók</t>
  </si>
  <si>
    <t>Tűzgátló ajtók karbantartása</t>
  </si>
  <si>
    <t>Tűzgátló ajtók javítása</t>
  </si>
  <si>
    <t>Tűzgátló lezárások, tűz- és füstcsappantyúk</t>
  </si>
  <si>
    <t>Tűzgátló lezárások, tűz- és füstcsappantyúk karbantartás</t>
  </si>
  <si>
    <t>Tűzgátló lezárások, tűz- és füstcsappantyúk javítás</t>
  </si>
  <si>
    <t>Irányfények, biztonsági világítás</t>
  </si>
  <si>
    <t>Irányfények, biztonsági világítás karbantartás</t>
  </si>
  <si>
    <t>Irányfények, biztonsági világítás javítás, csere</t>
  </si>
  <si>
    <t>Tűzvédelmi ellenőrzések</t>
  </si>
  <si>
    <t>Tűzvédelmi megbízotti feladatok</t>
  </si>
  <si>
    <t>Tűzjelző átjelzés</t>
  </si>
  <si>
    <t>Tűzriasztás átjelzés</t>
  </si>
  <si>
    <t>Tűzriasztás átjelzés karbantartás</t>
  </si>
  <si>
    <t>Tűzriasztás átjelzés javítás</t>
  </si>
  <si>
    <t>Tűzoltósági kivonulás</t>
  </si>
  <si>
    <t>Lift költségek</t>
  </si>
  <si>
    <t>Lift karbantartás</t>
  </si>
  <si>
    <t>Lift javítás</t>
  </si>
  <si>
    <t>Lift ellenőrzés</t>
  </si>
  <si>
    <t>Lift felülvizsgálat</t>
  </si>
  <si>
    <t>Lift távfelügyelet</t>
  </si>
  <si>
    <t>Gépészeti munkák</t>
  </si>
  <si>
    <t>Kazán</t>
  </si>
  <si>
    <t>Kazán karbantartás</t>
  </si>
  <si>
    <t>Kazán javítás</t>
  </si>
  <si>
    <t>Klíma rendszer</t>
  </si>
  <si>
    <t>Klíma rendszer karbantartás</t>
  </si>
  <si>
    <t>Klíma rendszer javítás</t>
  </si>
  <si>
    <t>Klíma szivárgás vizsgálat</t>
  </si>
  <si>
    <t>Kamerarendszer</t>
  </si>
  <si>
    <t>Kamerarendszer karbantartás</t>
  </si>
  <si>
    <t>Kamerarendszer javítás</t>
  </si>
  <si>
    <t>Villanyszerelési munkák</t>
  </si>
  <si>
    <t>Villanyszerelési karbantartás</t>
  </si>
  <si>
    <t>Villanyszerelési javítás</t>
  </si>
  <si>
    <t>Szellőző rendszer</t>
  </si>
  <si>
    <t>Szellőző rendszer karbantartás</t>
  </si>
  <si>
    <t>Szellőző rendszer javítás</t>
  </si>
  <si>
    <t>Garázskapu és beléptető rendszer</t>
  </si>
  <si>
    <t>Garázskapu és beléptető rendszer karbantartás</t>
  </si>
  <si>
    <t>Garázskapu és beléptető rendszer javítás</t>
  </si>
  <si>
    <t>Esővíz szivattyú, purátor</t>
  </si>
  <si>
    <t>Esővíz szivattyú, purátor karbantartás</t>
  </si>
  <si>
    <t>Esővíz szivattyú, purátor javítás</t>
  </si>
  <si>
    <t>Kaputelefon</t>
  </si>
  <si>
    <t>Kaputelefon karbantartás</t>
  </si>
  <si>
    <t>Kaputelefon javítás</t>
  </si>
  <si>
    <t>Egyéb gépészet</t>
  </si>
  <si>
    <t>Egyéb gépészeti karbantartás</t>
  </si>
  <si>
    <t>Egyéb gépészeti javítások</t>
  </si>
  <si>
    <t>Szakipari munkák</t>
  </si>
  <si>
    <t>Vízvezeték szerelés</t>
  </si>
  <si>
    <t>Lakatos munkák (Ajtók, rácsok)</t>
  </si>
  <si>
    <t>Bádogos munkák (Tető)</t>
  </si>
  <si>
    <t>Festés, mázolás</t>
  </si>
  <si>
    <t>Homlokzat javítások</t>
  </si>
  <si>
    <t>Burkolat javítások</t>
  </si>
  <si>
    <t>Üveges munkák</t>
  </si>
  <si>
    <t>Egyéb szakipari javítások</t>
  </si>
  <si>
    <t>Kémény</t>
  </si>
  <si>
    <t>Kémény karbantartás, tisztítás</t>
  </si>
  <si>
    <t>Kémény javítás</t>
  </si>
  <si>
    <t>Bérjárulékok</t>
  </si>
  <si>
    <t>Értékcsökenési leírás</t>
  </si>
  <si>
    <t>Tervezett értékcsökenés</t>
  </si>
  <si>
    <t>Terven felüli écs</t>
  </si>
  <si>
    <t>Értékhatár alatti tárgyi eszközök écs</t>
  </si>
  <si>
    <t>Felújítási munkák</t>
  </si>
  <si>
    <t>Költségnemek átvezetése</t>
  </si>
  <si>
    <t>Nem számlázható kiadások</t>
  </si>
  <si>
    <t>Ingatlan fenntartási költségek</t>
  </si>
  <si>
    <t>Földterület költségei</t>
  </si>
  <si>
    <t>Telek költségei</t>
  </si>
  <si>
    <t>Épület költségei</t>
  </si>
  <si>
    <t>Nem számlázható Bevételek</t>
  </si>
  <si>
    <t>Bevétel</t>
  </si>
  <si>
    <t>Föld hozadékai</t>
  </si>
  <si>
    <t>Föld alapú támogatások</t>
  </si>
  <si>
    <t>Bálák hozama</t>
  </si>
  <si>
    <t>Előírt homály befizetések</t>
  </si>
  <si>
    <t>Kiadások</t>
  </si>
  <si>
    <t>Egyéb ráfordítások</t>
  </si>
  <si>
    <t>Adók</t>
  </si>
  <si>
    <t>Bírságok</t>
  </si>
  <si>
    <t>Késedelmi kamat</t>
  </si>
  <si>
    <t>Egyéb ráfordítás</t>
  </si>
  <si>
    <t>Pénzügyi ráfordítások</t>
  </si>
  <si>
    <t>Kamat költségek</t>
  </si>
  <si>
    <t>Eredményt terhelő adók</t>
  </si>
  <si>
    <t>Társasági adó</t>
  </si>
  <si>
    <t>Bevételek</t>
  </si>
  <si>
    <t>Bevételek átvezetése</t>
  </si>
  <si>
    <t>Értékesítés árbevétele</t>
  </si>
  <si>
    <t>Bérleti díj bevételek</t>
  </si>
  <si>
    <t>Egyéb adóköteles bevételek</t>
  </si>
  <si>
    <t>Albetétek befizetései</t>
  </si>
  <si>
    <t>Közös költség befizetés</t>
  </si>
  <si>
    <t>Fogyasztás befizetés</t>
  </si>
  <si>
    <t>Hidegvíz befizetés</t>
  </si>
  <si>
    <t>Melegvíz befizetés</t>
  </si>
  <si>
    <t>Csatornadíj befizetés</t>
  </si>
  <si>
    <t>Fűtési díj befizetés</t>
  </si>
  <si>
    <t>Légkondícionáló befizetés</t>
  </si>
  <si>
    <t>Villany befizetés</t>
  </si>
  <si>
    <t>Egyéb fogyasztás befizetés</t>
  </si>
  <si>
    <t>Földvásárlási alap befizetés</t>
  </si>
  <si>
    <t>Egyéb befizetés</t>
  </si>
  <si>
    <t>Rendkivüli befizetés</t>
  </si>
  <si>
    <t>Tagbetét befizetés</t>
  </si>
  <si>
    <t>Egyéb bevételek</t>
  </si>
  <si>
    <t>Támogatások</t>
  </si>
  <si>
    <t>Biztosítói kártérítés</t>
  </si>
  <si>
    <t>Kártérítések</t>
  </si>
  <si>
    <t>Különféle egyéb bevételek</t>
  </si>
  <si>
    <t>Pénzügyi műveletek bevételei</t>
  </si>
  <si>
    <t>Hitelintézettől kapott kamatok</t>
  </si>
  <si>
    <t>Egyéb pénzügyi bevételek</t>
  </si>
  <si>
    <t>Rendkívüli bevételek</t>
  </si>
  <si>
    <t>Tovább hárított szolgáltatások</t>
  </si>
  <si>
    <t>Kerekítési nyereség-veszteség</t>
  </si>
  <si>
    <t>Azonosító</t>
  </si>
  <si>
    <t>Akció gombok</t>
  </si>
  <si>
    <t>Megjegyzések</t>
  </si>
  <si>
    <t>-</t>
  </si>
  <si>
    <t>+ 2 bála</t>
  </si>
  <si>
    <t>bányászat</t>
  </si>
  <si>
    <t>2024-39</t>
  </si>
  <si>
    <t>Valenczi Pálnak adott köl</t>
  </si>
  <si>
    <t>számla kód</t>
  </si>
  <si>
    <t>számla név</t>
  </si>
  <si>
    <t>Létrehozva</t>
  </si>
  <si>
    <t>Gazdasági esemény</t>
  </si>
  <si>
    <t>Tartozik</t>
  </si>
  <si>
    <t>Követel</t>
  </si>
  <si>
    <t>2025.01.16 10:56</t>
  </si>
  <si>
    <t>Albetét előírás</t>
  </si>
  <si>
    <t xml:space="preserve"> 0336: Tagbetét előírás A1: A1</t>
  </si>
  <si>
    <t xml:space="preserve"> 0956: Tagbetét befizetés</t>
  </si>
  <si>
    <t xml:space="preserve"> 0336: Tagbetét előírás A2: A2</t>
  </si>
  <si>
    <t xml:space="preserve"> 0336: Tagbetét előírás A3: A3</t>
  </si>
  <si>
    <t xml:space="preserve"> 0336: Tagbetét előírás A4: A4</t>
  </si>
  <si>
    <t xml:space="preserve"> 0336: Tagbetét előírás A5: A5</t>
  </si>
  <si>
    <t xml:space="preserve"> 0336: Tagbetét előírás A6: A6</t>
  </si>
  <si>
    <t>2025.01.16 11:03</t>
  </si>
  <si>
    <t xml:space="preserve"> 0333: Földvásárlási alap előírás A1: A1</t>
  </si>
  <si>
    <t xml:space="preserve"> 0953: Földvásárlási alap befizetés</t>
  </si>
  <si>
    <t xml:space="preserve"> 0333: Földvásárlási alap előírás A2: A2</t>
  </si>
  <si>
    <t xml:space="preserve"> 0333: Földvásárlási alap előírás A3: A3</t>
  </si>
  <si>
    <t xml:space="preserve"> 0333: Földvásárlási alap előírás A4: A4</t>
  </si>
  <si>
    <t>2025.01.16 12:28</t>
  </si>
  <si>
    <t>Átvezetés pénz számlák között</t>
  </si>
  <si>
    <t xml:space="preserve"> 382: Folyószámla</t>
  </si>
  <si>
    <t xml:space="preserve"> 3811: Pál pénztár zsebe</t>
  </si>
  <si>
    <t>2025.01.16 12:29</t>
  </si>
  <si>
    <t>Kiadás elszámolás</t>
  </si>
  <si>
    <t xml:space="preserve"> 5302: Bank költségek</t>
  </si>
  <si>
    <t>2025.01.16 12:32</t>
  </si>
  <si>
    <t>2025.01.16 12:35</t>
  </si>
  <si>
    <t>Bevétel elszámolás</t>
  </si>
  <si>
    <t xml:space="preserve"> 973: Hitelintézettől kapott kamatok</t>
  </si>
  <si>
    <t>2025.01.16 12:41</t>
  </si>
  <si>
    <t>Több számla</t>
  </si>
  <si>
    <t>2025.01.16 12:44</t>
  </si>
  <si>
    <t>Albetét befizetés</t>
  </si>
  <si>
    <t>2025.01.16 12:49</t>
  </si>
  <si>
    <t>2025.01.16 12:51</t>
  </si>
  <si>
    <t>2025.01.16 12:53</t>
  </si>
  <si>
    <t>2025.01.16 12:55</t>
  </si>
  <si>
    <t xml:space="preserve"> 3812: Dániel pénztár zsebe</t>
  </si>
  <si>
    <t>2025.01.16 13:03</t>
  </si>
  <si>
    <t>2025.01.16 15:41</t>
  </si>
  <si>
    <t xml:space="preserve"> 0335: Rendkivüli befizetés előírás A5: A5</t>
  </si>
  <si>
    <t xml:space="preserve"> 0955: Rendkivüli befizetés</t>
  </si>
  <si>
    <t>2025.01.16 15:48</t>
  </si>
  <si>
    <t>2025.01.16 15:49</t>
  </si>
  <si>
    <t>2025.01.16 15:50</t>
  </si>
  <si>
    <t>2025.01.16 15:51</t>
  </si>
  <si>
    <t>2025.01.16 17:58</t>
  </si>
  <si>
    <t>Vegyes könyvelési művelet</t>
  </si>
  <si>
    <t xml:space="preserve"> 956: Tagbetét befizetés</t>
  </si>
  <si>
    <t xml:space="preserve"> 411: Jegyzett tőke</t>
  </si>
  <si>
    <t>Jegyzett tőke átvezetése</t>
  </si>
  <si>
    <t>2025.01.16 18:06</t>
  </si>
  <si>
    <t xml:space="preserve"> 50: Kiadások átvezetése</t>
  </si>
  <si>
    <t>2024 eredmény könyvelése</t>
  </si>
  <si>
    <t>2025.03.01 13:30</t>
  </si>
  <si>
    <t>2025.03.01 13:31</t>
  </si>
  <si>
    <t>2025.03.01 13:32</t>
  </si>
  <si>
    <t>2025.03.01 13:33</t>
  </si>
  <si>
    <t>2025.03.01 13:36</t>
  </si>
  <si>
    <t xml:space="preserve"> 198: Földvásárlásra adott kölcsönök</t>
  </si>
  <si>
    <t>2025.03.01 16:30</t>
  </si>
  <si>
    <t xml:space="preserve"> 413: Eredménytartalék</t>
  </si>
  <si>
    <t xml:space="preserve"> 419: Mérleg szerinti eredmény</t>
  </si>
  <si>
    <t>2025.03.01 16:35</t>
  </si>
  <si>
    <t xml:space="preserve"> 953: Földvásárlási alap befizetés</t>
  </si>
  <si>
    <t>2025.03.01 17:01</t>
  </si>
  <si>
    <t>2025.03.01 18:20</t>
  </si>
  <si>
    <t>Homály kiadás elszámolás</t>
  </si>
  <si>
    <t xml:space="preserve"> 3831: Pál homály pénztár zsebe</t>
  </si>
  <si>
    <t>2025.03.02 11:20</t>
  </si>
  <si>
    <t>Homály bevétel elszámolás</t>
  </si>
  <si>
    <t xml:space="preserve"> 75: Előírt homály befizetések</t>
  </si>
  <si>
    <t>2025.03.02 11:21</t>
  </si>
  <si>
    <t>2025.03.02 11:22</t>
  </si>
  <si>
    <t>2025.03.02 12:01</t>
  </si>
  <si>
    <t>2025.03.02 12:02</t>
  </si>
  <si>
    <t>2025.03.13 12:06</t>
  </si>
  <si>
    <t>Szállító számla</t>
  </si>
  <si>
    <t xml:space="preserve"> 05304: Jogi költségek</t>
  </si>
  <si>
    <t xml:space="preserve"> 0454: Szállítók</t>
  </si>
  <si>
    <t>2025-11</t>
  </si>
  <si>
    <t>2025.03.15 12:01</t>
  </si>
  <si>
    <t xml:space="preserve"> 6306: Hatósági díjak</t>
  </si>
  <si>
    <t>2025.04.07 18:09</t>
  </si>
  <si>
    <t>Szállító számla kifizetés</t>
  </si>
  <si>
    <t>2025.04.07 18:11</t>
  </si>
  <si>
    <t>2025.04.07 18:12</t>
  </si>
  <si>
    <t>2025.05.21 14:58</t>
  </si>
  <si>
    <t>2025.05.21 15:00</t>
  </si>
  <si>
    <t xml:space="preserve"> 5113: Üzemanyag</t>
  </si>
  <si>
    <t>2025.06.04 10:30</t>
  </si>
  <si>
    <t>2025-28</t>
  </si>
  <si>
    <t>2025.06.10 13:13</t>
  </si>
  <si>
    <t>2025.06.10 13:14</t>
  </si>
  <si>
    <t>2025.10.11 13:18</t>
  </si>
  <si>
    <t>Homály albetét befizetés</t>
  </si>
  <si>
    <t>2025.10.21 16:53</t>
  </si>
  <si>
    <t xml:space="preserve"> 5306: Hatósági díjak</t>
  </si>
  <si>
    <t>2025.10.21 16:55</t>
  </si>
  <si>
    <t>2025.10.21 16:56</t>
  </si>
  <si>
    <t xml:space="preserve"> 122: Telek</t>
  </si>
  <si>
    <t>2025.10.21 16:57</t>
  </si>
  <si>
    <t>2025.10.21 17:00</t>
  </si>
  <si>
    <t xml:space="preserve"> 129: Ingatlanok homály érték növekedése</t>
  </si>
  <si>
    <t xml:space="preserve"> 3832: Dániel homály pénztár zsebe</t>
  </si>
  <si>
    <t>2025.10.21 17:04</t>
  </si>
  <si>
    <t xml:space="preserve"> 621: Földterület költségei</t>
  </si>
  <si>
    <t>2025.10.21 17:06</t>
  </si>
  <si>
    <t xml:space="preserve"> 623: Épület költségei</t>
  </si>
  <si>
    <t>2025.10.21 17:07</t>
  </si>
  <si>
    <t>2025.10.21 17:08</t>
  </si>
  <si>
    <t>2025.10.21 17:09</t>
  </si>
  <si>
    <t xml:space="preserve"> 5304: Jogi költségek</t>
  </si>
  <si>
    <t>2025.10.21 17:10</t>
  </si>
  <si>
    <t>2025.10.21 17:11</t>
  </si>
  <si>
    <t>2025.10.21 17:12</t>
  </si>
  <si>
    <t>2025.10.21 17:26</t>
  </si>
  <si>
    <t>2025.10.21 17:28</t>
  </si>
  <si>
    <t>2025.10.21 17:29</t>
  </si>
  <si>
    <t>2025.10.21 17:30</t>
  </si>
  <si>
    <t>2025.10.21 17:52</t>
  </si>
  <si>
    <t xml:space="preserve"> 711: Föld alapú támogatások</t>
  </si>
  <si>
    <t>2025.10.21 17:53</t>
  </si>
  <si>
    <t>2025.10.21 19:04</t>
  </si>
  <si>
    <t>2025.10.24 15:03</t>
  </si>
  <si>
    <t>2025.10.30 14:01</t>
  </si>
  <si>
    <t>2025.10.30 14:02</t>
  </si>
  <si>
    <t>2025.10.30 14:03</t>
  </si>
  <si>
    <t>2025.10.30 14:04</t>
  </si>
  <si>
    <t>2025.11.05 15:46</t>
  </si>
  <si>
    <t xml:space="preserve"> 05306: Hatósági díjak</t>
  </si>
  <si>
    <t>2025.11.05 15:49</t>
  </si>
  <si>
    <t>2025.11.05 15:50</t>
  </si>
  <si>
    <t>2025.11.05 15:51</t>
  </si>
  <si>
    <t>tr</t>
  </si>
  <si>
    <t>Row Labels</t>
  </si>
  <si>
    <t>Grand Total</t>
  </si>
  <si>
    <t>Count of tranzakció Egyedi azonosító</t>
  </si>
  <si>
    <t>Column Labels</t>
  </si>
  <si>
    <t>Partner</t>
  </si>
  <si>
    <t>Számla kelte</t>
  </si>
  <si>
    <t>Teljesítés ideje</t>
  </si>
  <si>
    <t>Fizetési határidő</t>
  </si>
  <si>
    <t>Kifizetetlen</t>
  </si>
  <si>
    <t>Kifizetés ideje</t>
  </si>
  <si>
    <t>Valenczi Pál</t>
  </si>
  <si>
    <t>2024.12.01</t>
  </si>
  <si>
    <t>Balázs Erika</t>
  </si>
  <si>
    <t>2025.01.24</t>
  </si>
  <si>
    <t>Róka Dániel</t>
  </si>
  <si>
    <t>Fejős Ildikó</t>
  </si>
  <si>
    <t>Viczián László</t>
  </si>
  <si>
    <t>Horváth Péter</t>
  </si>
  <si>
    <t>NAV</t>
  </si>
  <si>
    <t>2025.12.11</t>
  </si>
  <si>
    <t>2025.12.05</t>
  </si>
  <si>
    <t>Dr. Fodor Marianna</t>
  </si>
  <si>
    <t>2025.06.11</t>
  </si>
  <si>
    <t>2025.03.27</t>
  </si>
  <si>
    <t>Beazonosítatlan</t>
  </si>
  <si>
    <t>Pénz számla</t>
  </si>
  <si>
    <t> 382: Folyószámla</t>
  </si>
  <si>
    <t>Előző</t>
  </si>
  <si>
    <t>Következő</t>
  </si>
  <si>
    <t>K&amp;H Bank</t>
  </si>
  <si>
    <t>Földhivatal</t>
  </si>
  <si>
    <t>Föld eladó</t>
  </si>
  <si>
    <t>Földmérő</t>
  </si>
  <si>
    <t>Tetôfedô mester</t>
  </si>
  <si>
    <t>Föld ügyvéd</t>
  </si>
  <si>
    <t>powered by honline</t>
  </si>
  <si>
    <t>Köszönettel vesszük visszajelzéseit !</t>
  </si>
  <si>
    <r>
      <t>Szabályzat</t>
    </r>
    <r>
      <rPr>
        <sz val="13"/>
        <color rgb="FF676A6C"/>
        <rFont val="Open Sans"/>
        <family val="2"/>
      </rPr>
      <t>   </t>
    </r>
    <r>
      <rPr>
        <sz val="13"/>
        <color rgb="FF337AB7"/>
        <rFont val="Open Sans"/>
        <family val="2"/>
      </rPr>
      <t>Adatkezelés</t>
    </r>
  </si>
  <si>
    <t>date</t>
  </si>
  <si>
    <t>time</t>
  </si>
  <si>
    <t>desc</t>
  </si>
  <si>
    <t>trx_type</t>
  </si>
  <si>
    <t>curr_type</t>
  </si>
  <si>
    <t>amount</t>
  </si>
  <si>
    <t>related</t>
  </si>
  <si>
    <t>debit_account</t>
  </si>
  <si>
    <t>credit_account</t>
  </si>
  <si>
    <t>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</si>
</sst>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HUF&quot;"/>
  </numFmts>
  <fonts count="1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2"/>
      <color rgb="FF333333"/>
      <name val="Menlo"/>
      <family val="2"/>
    </font>
    <font>
      <b/>
      <sz val="13"/>
      <color rgb="FF676A6C"/>
      <name val="Open Sans"/>
      <family val="2"/>
    </font>
    <font>
      <sz val="13"/>
      <color rgb="FF676A6C"/>
      <name val="Open Sans"/>
      <family val="2"/>
    </font>
    <font>
      <sz val="12"/>
      <color rgb="FF676A6C"/>
      <name val="Open Sans"/>
      <family val="2"/>
    </font>
    <font>
      <sz val="10"/>
      <color rgb="FFFFFFFF"/>
      <name val="Open Sans"/>
      <family val="2"/>
    </font>
    <font>
      <sz val="13"/>
      <color rgb="FF1AB394"/>
      <name val="FontAwesome"/>
    </font>
    <font>
      <u/>
      <sz val="11"/>
      <color theme="10"/>
      <name val="Calibri"/>
      <family val="2"/>
    </font>
    <font>
      <b/>
      <sz val="11"/>
      <name val="Open Sans"/>
      <family val="2"/>
    </font>
    <font>
      <sz val="11"/>
      <name val="Open Sans"/>
      <family val="2"/>
    </font>
    <font>
      <sz val="12"/>
      <name val="Open Sans"/>
      <family val="2"/>
    </font>
    <font>
      <sz val="11"/>
      <color rgb="FF1AB394"/>
      <name val="FontAwesome"/>
    </font>
    <font>
      <sz val="13"/>
      <color rgb="FF337AB7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3" fontId="0" fillId="0" borderId="0" xfId="0" applyNumberFormat="1"/>
    <xf numFmtId="0" fontId="3" fillId="0" borderId="0" xfId="0" applyFont="1"/>
    <xf numFmtId="0" fontId="2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/>
    <xf numFmtId="3" fontId="11" fillId="0" borderId="0" xfId="0" applyNumberFormat="1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19</xdr:col>
      <xdr:colOff>342900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B69A7-52FB-4DD7-4615-5AB871A35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8400" y="406400"/>
          <a:ext cx="7772400" cy="480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546100</xdr:colOff>
      <xdr:row>1</xdr:row>
      <xdr:rowOff>12700</xdr:rowOff>
    </xdr:from>
    <xdr:to>
      <xdr:col>20</xdr:col>
      <xdr:colOff>63500</xdr:colOff>
      <xdr:row>26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EE1F8-4E17-0245-9EB9-6CFC89A1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0" y="203200"/>
          <a:ext cx="7772400" cy="48006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éter Innovációs" refreshedDate="45997.976097800929" createdVersion="8" refreshedVersion="8" minRefreshableVersion="3" recordCount="322" xr:uid="{8E19D949-6082-844F-B64B-CF919EEB386F}">
  <cacheSource type="worksheet">
    <worksheetSource ref="A1:F323" sheet="journal entries"/>
  </cacheSource>
  <cacheFields count="6">
    <cacheField name="Értéknap" numFmtId="0">
      <sharedItems/>
    </cacheField>
    <cacheField name="számla kód" numFmtId="0">
      <sharedItems containsSemiMixedTypes="0" containsString="0" containsNumber="1" containsInteger="1" minValue="50" maxValue="6306"/>
    </cacheField>
    <cacheField name="számla név" numFmtId="0">
      <sharedItems/>
    </cacheField>
    <cacheField name="Oldal" numFmtId="0">
      <sharedItems count="2">
        <s v="T"/>
        <s v="K"/>
      </sharedItems>
    </cacheField>
    <cacheField name="Összeg" numFmtId="164">
      <sharedItems containsSemiMixedTypes="0" containsString="0" containsNumber="1" containsInteger="1" minValue="-43000000" maxValue="50000000"/>
    </cacheField>
    <cacheField name="tranzakció Egyedi azonosító" numFmtId="0">
      <sharedItems count="118">
        <s v="SZ/SZAL/4/2025"/>
        <s v="NY/SZAL/45/2025"/>
        <s v="NY/SZAL/46/2025"/>
        <s v="NY/VEV/11/2025"/>
        <s v="FIZ/SZAL/3/2025"/>
        <s v="FIZ/SZAL/4/2025"/>
        <s v="ATV/2/2025"/>
        <s v="NY/SZAL/28/2025"/>
        <s v="NY/VEV/9/2025"/>
        <s v="NY/VEV/10/2025"/>
        <s v="NY/SZAL/27/2025"/>
        <s v="NY/SZAL/29/2025"/>
        <s v="SZ/SZAL/5/2025"/>
        <s v="NY/SZAL/39/2025"/>
        <s v="NY/VEV/8/2025"/>
        <s v="NY/SZAL/37/2025"/>
        <s v="NY/SZAL/40/2025"/>
        <s v="NY/SZAL/38/2025"/>
        <s v="NY/SZAL/36/2025"/>
        <s v="NY/SZAL/30/2025"/>
        <s v="NY/SZAL/32/2025"/>
        <s v="NY/SZAL/33/2025"/>
        <s v="NY/SZAL/35/2025"/>
        <s v="NY/SZAL/31/2025"/>
        <s v="NY/SZAL/34/2025"/>
        <s v="NY/SZAL/21/2025"/>
        <s v="NY/SZAL/22/2025"/>
        <s v="NY/SZAL/23/2025"/>
        <s v="NY/SZAL/24/2025"/>
        <s v="NY/SZAL/43/2025"/>
        <s v="NY/SZAL/44/2025"/>
        <s v="NY/VEV/12/2025"/>
        <s v="NY/SZAL/42/2025"/>
        <s v="NY/SZAL/41/2025"/>
        <s v="FIZ/SZAL/2/2025"/>
        <s v="NY/SZAL/20/2025"/>
        <s v="SZ/SZAL/3/2025"/>
        <s v="NY/SZAL/19/2025"/>
        <s v="NY/SZAL/18/2025"/>
        <s v="NY/SZAL/26/2025"/>
        <s v="NY/SZAL/16/2025"/>
        <s v="NY/SZAL/17/2025"/>
        <s v="NY/VEV/7/2025"/>
        <s v="NY/SZAL/14/2025"/>
        <s v="NY/SZAL/15/2025"/>
        <s v="NY/SZAL/25/2025"/>
        <s v="NY/SZAL/13/2025"/>
        <s v="FIZ/SZAL/1/2025"/>
        <s v="SZ/SZAL/2/2025"/>
        <s v="VEGY/6/2025"/>
        <s v="NY/SZAL/11/2025"/>
        <s v="NY/SZAL/12/2025"/>
        <s v="FIZ/DIJ/17/2025"/>
        <s v="NY/SZAL/8/2025"/>
        <s v="FIZ/DIJ/16/2025"/>
        <s v="FIZ/DIJ/15/2025"/>
        <s v="FIZ/DIJ/18/2025"/>
        <s v="NY/SZAL/7/2025"/>
        <s v="FIZ/DIJ/14/2025"/>
        <s v="NY/SZAL/6/2025"/>
        <s v="SZ/DIJ/7/2025"/>
        <s v="SZ/DIJ/8/2025"/>
        <s v="SZ/DIJ/9/2025"/>
        <s v="SZ/DIJ/10/2025"/>
        <s v="SZ/SZAL/1/2025"/>
        <s v="SZ/SZAL/1/2025/STORNO"/>
        <s v="FIZ/DIJ/19/2025"/>
        <s v="FIZ/DIJ/19/2025/STORNO"/>
        <s v="NY/SZAL/10/2025"/>
        <s v="FIZ/DIJ/21/2025"/>
        <s v="NY/SZAL/10/2025/STORNO"/>
        <s v="VEGY/5/2025"/>
        <s v="NY/SZAL/2/2025"/>
        <s v="NY/SZAL/3/2025"/>
        <s v="NY/VEV/2/2025"/>
        <s v="VEGY/1/2025"/>
        <s v="VEGY/2/2025"/>
        <s v="VEGY/4/2025"/>
        <s v="VEGY/4/2025/STORNO"/>
        <s v="ATV/1/2025"/>
        <s v="NY/SZAL/1/2025"/>
        <s v="NY/VEV/1/2025"/>
        <s v="NY/SZAL/9/2025"/>
        <s v="NY/VEV/3/2025"/>
        <s v="NY/VEV/4/2025"/>
        <s v="NY/VEV/5/2025"/>
        <s v="NY/VEV/6/2025"/>
        <s v="SZ/DIJ/1/2025"/>
        <s v="SZ/DIJ/2/2025"/>
        <s v="SZ/DIJ/3/2025"/>
        <s v="SZ/DIJ/4/2025"/>
        <s v="SZ/DIJ/5/2025"/>
        <s v="SZ/DIJ/6/2025"/>
        <s v="SZ/DIJ/11/2025"/>
        <s v="SZ/DIJ/12/2025"/>
        <s v="SZ/DIJ/13/2025"/>
        <s v="SZ/DIJ/14/2025"/>
        <s v="SZ/DIJ/15/2025"/>
        <s v="SZ/DIJ/16/2025"/>
        <s v="FIZ/DIJ/1/2025"/>
        <s v="FIZ/DIJ/3/2025"/>
        <s v="FIZ/DIJ/4/2025"/>
        <s v="FIZ/DIJ/5/2025"/>
        <s v="FIZ/DIJ/6/2025"/>
        <s v="FIZ/DIJ/8/2025"/>
        <s v="FIZ/DIJ/9/2025"/>
        <s v="FIZ/DIJ/10/2025"/>
        <s v="FIZ/DIJ/11/2025"/>
        <s v="FIZ/DIJ/12/2025"/>
        <s v="FIZ/DIJ/20/2025"/>
        <s v="NY/SZAL/4/2025"/>
        <s v="FIZ/DIJ/2/2025"/>
        <s v="NY/SZAL/5/2025"/>
        <s v="FIZ/DIJ/7/2025"/>
        <s v="VEGY/3/2025"/>
        <s v="FIZ/DIJ/13/2025"/>
        <s v="VEGY/3/2025/STORNO"/>
        <s v="FIZ/DIJ/13/2025/STOR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">
  <r>
    <s v="2025.11.05"/>
    <n v="5306"/>
    <s v="Hatósági díjak"/>
    <x v="0"/>
    <n v="40000"/>
    <x v="0"/>
  </r>
  <r>
    <s v="2025.11.05"/>
    <n v="454"/>
    <s v="Szállítók"/>
    <x v="1"/>
    <n v="40000"/>
    <x v="0"/>
  </r>
  <r>
    <s v="2025.10.31"/>
    <n v="5302"/>
    <s v="Bank költségek"/>
    <x v="0"/>
    <n v="792"/>
    <x v="1"/>
  </r>
  <r>
    <s v="2025.10.31"/>
    <n v="382"/>
    <s v="Folyószámla"/>
    <x v="1"/>
    <n v="792"/>
    <x v="1"/>
  </r>
  <r>
    <s v="2025.10.31"/>
    <n v="5302"/>
    <s v="Bank költségek"/>
    <x v="0"/>
    <n v="486"/>
    <x v="2"/>
  </r>
  <r>
    <s v="2025.10.31"/>
    <n v="382"/>
    <s v="Folyószámla"/>
    <x v="1"/>
    <n v="486"/>
    <x v="2"/>
  </r>
  <r>
    <s v="2025.10.23"/>
    <n v="3831"/>
    <s v="Pál homály pénztár zsebe"/>
    <x v="0"/>
    <n v="149736"/>
    <x v="3"/>
  </r>
  <r>
    <s v="2025.10.23"/>
    <n v="711"/>
    <s v="Föld alapú támogatások"/>
    <x v="1"/>
    <n v="149736"/>
    <x v="3"/>
  </r>
  <r>
    <s v="2025.10.20"/>
    <n v="5306"/>
    <s v="Hatósági díjak"/>
    <x v="0"/>
    <n v="40000"/>
    <x v="4"/>
  </r>
  <r>
    <s v="2025.10.20"/>
    <n v="454"/>
    <s v="Szállítók"/>
    <x v="0"/>
    <n v="40000"/>
    <x v="4"/>
  </r>
  <r>
    <s v="2025.10.20"/>
    <n v="382"/>
    <s v="Folyószámla"/>
    <x v="1"/>
    <n v="40000"/>
    <x v="4"/>
  </r>
  <r>
    <s v="2025.10.20"/>
    <n v="5306"/>
    <s v="Hatósági díjak"/>
    <x v="1"/>
    <n v="40000"/>
    <x v="4"/>
  </r>
  <r>
    <s v="2025.10.20"/>
    <n v="5306"/>
    <s v="Hatósági díjak"/>
    <x v="0"/>
    <n v="68000"/>
    <x v="5"/>
  </r>
  <r>
    <s v="2025.10.20"/>
    <n v="454"/>
    <s v="Szállítók"/>
    <x v="0"/>
    <n v="68000"/>
    <x v="5"/>
  </r>
  <r>
    <s v="2025.10.20"/>
    <n v="382"/>
    <s v="Folyószámla"/>
    <x v="1"/>
    <n v="68000"/>
    <x v="5"/>
  </r>
  <r>
    <s v="2025.10.20"/>
    <n v="5306"/>
    <s v="Hatósági díjak"/>
    <x v="1"/>
    <n v="68000"/>
    <x v="5"/>
  </r>
  <r>
    <s v="2025.10.18"/>
    <n v="3832"/>
    <s v="Dániel homály pénztár zsebe"/>
    <x v="0"/>
    <n v="495000"/>
    <x v="6"/>
  </r>
  <r>
    <s v="2025.10.18"/>
    <n v="3831"/>
    <s v="Pál homály pénztár zsebe"/>
    <x v="1"/>
    <n v="495000"/>
    <x v="6"/>
  </r>
  <r>
    <s v="2025.10.16"/>
    <n v="623"/>
    <s v="Épület költségei"/>
    <x v="0"/>
    <n v="130000"/>
    <x v="7"/>
  </r>
  <r>
    <s v="2025.10.16"/>
    <n v="3832"/>
    <s v="Dániel homály pénztár zsebe"/>
    <x v="1"/>
    <n v="130000"/>
    <x v="7"/>
  </r>
  <r>
    <s v="2025.10.16"/>
    <n v="3831"/>
    <s v="Pál homály pénztár zsebe"/>
    <x v="0"/>
    <n v="214030"/>
    <x v="8"/>
  </r>
  <r>
    <s v="2025.10.16"/>
    <n v="711"/>
    <s v="Föld alapú támogatások"/>
    <x v="1"/>
    <n v="214030"/>
    <x v="8"/>
  </r>
  <r>
    <s v="2025.10.16"/>
    <n v="3831"/>
    <s v="Pál homály pénztár zsebe"/>
    <x v="0"/>
    <n v="340428"/>
    <x v="9"/>
  </r>
  <r>
    <s v="2025.10.16"/>
    <n v="711"/>
    <s v="Föld alapú támogatások"/>
    <x v="1"/>
    <n v="340428"/>
    <x v="9"/>
  </r>
  <r>
    <s v="2025.10.10"/>
    <n v="623"/>
    <s v="Épület költségei"/>
    <x v="0"/>
    <n v="195000"/>
    <x v="10"/>
  </r>
  <r>
    <s v="2025.10.10"/>
    <n v="3832"/>
    <s v="Dániel homály pénztár zsebe"/>
    <x v="1"/>
    <n v="195000"/>
    <x v="10"/>
  </r>
  <r>
    <s v="2025.10.10"/>
    <n v="623"/>
    <s v="Épület költségei"/>
    <x v="0"/>
    <n v="20000"/>
    <x v="11"/>
  </r>
  <r>
    <s v="2025.10.10"/>
    <n v="3832"/>
    <s v="Dániel homály pénztár zsebe"/>
    <x v="1"/>
    <n v="20000"/>
    <x v="11"/>
  </r>
  <r>
    <s v="2025.10.10"/>
    <n v="5306"/>
    <s v="Hatósági díjak"/>
    <x v="0"/>
    <n v="68000"/>
    <x v="12"/>
  </r>
  <r>
    <s v="2025.10.10"/>
    <n v="454"/>
    <s v="Szállítók"/>
    <x v="1"/>
    <n v="68000"/>
    <x v="12"/>
  </r>
  <r>
    <s v="2025.09.30"/>
    <n v="5302"/>
    <s v="Bank költségek"/>
    <x v="0"/>
    <n v="792"/>
    <x v="13"/>
  </r>
  <r>
    <s v="2025.09.30"/>
    <n v="382"/>
    <s v="Folyószámla"/>
    <x v="1"/>
    <n v="792"/>
    <x v="13"/>
  </r>
  <r>
    <s v="2025.09.30"/>
    <n v="382"/>
    <s v="Folyószámla"/>
    <x v="0"/>
    <n v="155"/>
    <x v="14"/>
  </r>
  <r>
    <s v="2025.09.30"/>
    <n v="973"/>
    <s v="Hitelintézettől kapott kamatok"/>
    <x v="1"/>
    <n v="155"/>
    <x v="14"/>
  </r>
  <r>
    <s v="2025.09.18"/>
    <n v="5113"/>
    <s v="Üzemanyag"/>
    <x v="0"/>
    <n v="31801"/>
    <x v="15"/>
  </r>
  <r>
    <s v="2025.09.18"/>
    <n v="382"/>
    <s v="Folyószámla"/>
    <x v="1"/>
    <n v="31801"/>
    <x v="15"/>
  </r>
  <r>
    <s v="2025.09.17"/>
    <n v="3832"/>
    <s v="Dániel homály pénztár zsebe"/>
    <x v="0"/>
    <n v="100000"/>
    <x v="16"/>
  </r>
  <r>
    <s v="2025.09.17"/>
    <n v="5113"/>
    <s v="Üzemanyag"/>
    <x v="1"/>
    <n v="100000"/>
    <x v="16"/>
  </r>
  <r>
    <s v="2025.08.29"/>
    <n v="5302"/>
    <s v="Bank költségek"/>
    <x v="0"/>
    <n v="792"/>
    <x v="17"/>
  </r>
  <r>
    <s v="2025.08.29"/>
    <n v="382"/>
    <s v="Folyószámla"/>
    <x v="1"/>
    <n v="792"/>
    <x v="17"/>
  </r>
  <r>
    <s v="2025.08.15"/>
    <n v="5113"/>
    <s v="Üzemanyag"/>
    <x v="0"/>
    <n v="24878"/>
    <x v="18"/>
  </r>
  <r>
    <s v="2025.08.15"/>
    <n v="382"/>
    <s v="Folyószámla"/>
    <x v="1"/>
    <n v="24878"/>
    <x v="18"/>
  </r>
  <r>
    <s v="2025.08.04"/>
    <n v="621"/>
    <s v="Földterület költségei"/>
    <x v="0"/>
    <n v="100000"/>
    <x v="19"/>
  </r>
  <r>
    <s v="2025.08.04"/>
    <n v="3832"/>
    <s v="Dániel homály pénztár zsebe"/>
    <x v="1"/>
    <n v="100000"/>
    <x v="19"/>
  </r>
  <r>
    <s v="2025.07.31"/>
    <n v="5302"/>
    <s v="Bank költségek"/>
    <x v="0"/>
    <n v="12703"/>
    <x v="20"/>
  </r>
  <r>
    <s v="2025.07.31"/>
    <n v="382"/>
    <s v="Folyószámla"/>
    <x v="1"/>
    <n v="12703"/>
    <x v="20"/>
  </r>
  <r>
    <s v="2025.07.31"/>
    <n v="5302"/>
    <s v="Bank költségek"/>
    <x v="0"/>
    <n v="792"/>
    <x v="21"/>
  </r>
  <r>
    <s v="2025.07.31"/>
    <n v="382"/>
    <s v="Folyószámla"/>
    <x v="1"/>
    <n v="792"/>
    <x v="21"/>
  </r>
  <r>
    <s v="2025.07.28"/>
    <n v="5113"/>
    <s v="Üzemanyag"/>
    <x v="0"/>
    <n v="30225"/>
    <x v="22"/>
  </r>
  <r>
    <s v="2025.07.28"/>
    <n v="382"/>
    <s v="Folyószámla"/>
    <x v="1"/>
    <n v="30225"/>
    <x v="22"/>
  </r>
  <r>
    <s v="2025.07.17"/>
    <n v="5304"/>
    <s v="Jogi költségek"/>
    <x v="0"/>
    <n v="101600"/>
    <x v="23"/>
  </r>
  <r>
    <s v="2025.07.17"/>
    <n v="382"/>
    <s v="Folyószámla"/>
    <x v="1"/>
    <n v="101600"/>
    <x v="23"/>
  </r>
  <r>
    <s v="2025.07.17"/>
    <n v="5113"/>
    <s v="Üzemanyag"/>
    <x v="0"/>
    <n v="31744"/>
    <x v="24"/>
  </r>
  <r>
    <s v="2025.07.17"/>
    <n v="382"/>
    <s v="Folyószámla"/>
    <x v="1"/>
    <n v="31744"/>
    <x v="24"/>
  </r>
  <r>
    <s v="2025.07.16"/>
    <n v="5306"/>
    <s v="Hatósági díjak"/>
    <x v="0"/>
    <n v="10600"/>
    <x v="25"/>
  </r>
  <r>
    <s v="2025.07.16"/>
    <n v="382"/>
    <s v="Folyószámla"/>
    <x v="1"/>
    <n v="10600"/>
    <x v="25"/>
  </r>
  <r>
    <s v="2025.07.16"/>
    <n v="5306"/>
    <s v="Hatósági díjak"/>
    <x v="0"/>
    <n v="10600"/>
    <x v="26"/>
  </r>
  <r>
    <s v="2025.07.16"/>
    <n v="382"/>
    <s v="Folyószámla"/>
    <x v="1"/>
    <n v="10600"/>
    <x v="26"/>
  </r>
  <r>
    <s v="2025.07.16"/>
    <n v="122"/>
    <s v="Telek"/>
    <x v="0"/>
    <n v="1700000"/>
    <x v="27"/>
  </r>
  <r>
    <s v="2025.07.16"/>
    <n v="382"/>
    <s v="Folyószámla"/>
    <x v="1"/>
    <n v="1700000"/>
    <x v="27"/>
  </r>
  <r>
    <s v="2025.07.16"/>
    <n v="122"/>
    <s v="Telek"/>
    <x v="0"/>
    <n v="1000000"/>
    <x v="28"/>
  </r>
  <r>
    <s v="2025.07.16"/>
    <n v="382"/>
    <s v="Folyószámla"/>
    <x v="1"/>
    <n v="1000000"/>
    <x v="28"/>
  </r>
  <r>
    <s v="2025.06.30"/>
    <n v="5302"/>
    <s v="Bank költségek"/>
    <x v="0"/>
    <n v="792"/>
    <x v="29"/>
  </r>
  <r>
    <s v="2025.06.30"/>
    <n v="382"/>
    <s v="Folyószámla"/>
    <x v="1"/>
    <n v="792"/>
    <x v="29"/>
  </r>
  <r>
    <s v="2025.06.30"/>
    <n v="5302"/>
    <s v="Bank költségek"/>
    <x v="0"/>
    <n v="720"/>
    <x v="30"/>
  </r>
  <r>
    <s v="2025.06.30"/>
    <n v="382"/>
    <s v="Folyószámla"/>
    <x v="1"/>
    <n v="720"/>
    <x v="30"/>
  </r>
  <r>
    <s v="2025.06.30"/>
    <n v="382"/>
    <s v="Folyószámla"/>
    <x v="0"/>
    <n v="219"/>
    <x v="31"/>
  </r>
  <r>
    <s v="2025.06.30"/>
    <n v="973"/>
    <s v="Hitelintézettől kapott kamatok"/>
    <x v="1"/>
    <n v="219"/>
    <x v="31"/>
  </r>
  <r>
    <s v="2025.06.26"/>
    <n v="5113"/>
    <s v="Üzemanyag"/>
    <x v="0"/>
    <n v="32001"/>
    <x v="32"/>
  </r>
  <r>
    <s v="2025.06.26"/>
    <n v="382"/>
    <s v="Folyószámla"/>
    <x v="1"/>
    <n v="32001"/>
    <x v="32"/>
  </r>
  <r>
    <s v="2025.06.13"/>
    <n v="5113"/>
    <s v="Üzemanyag"/>
    <x v="0"/>
    <n v="33005"/>
    <x v="33"/>
  </r>
  <r>
    <s v="2025.06.13"/>
    <n v="382"/>
    <s v="Folyószámla"/>
    <x v="1"/>
    <n v="33005"/>
    <x v="33"/>
  </r>
  <r>
    <s v="2025.06.04"/>
    <n v="5304"/>
    <s v="Jogi költségek"/>
    <x v="0"/>
    <n v="160000"/>
    <x v="34"/>
  </r>
  <r>
    <s v="2025.06.04"/>
    <n v="454"/>
    <s v="Szállítók"/>
    <x v="0"/>
    <n v="160000"/>
    <x v="34"/>
  </r>
  <r>
    <s v="2025.06.04"/>
    <n v="382"/>
    <s v="Folyószámla"/>
    <x v="1"/>
    <n v="160000"/>
    <x v="34"/>
  </r>
  <r>
    <s v="2025.06.04"/>
    <n v="5304"/>
    <s v="Jogi költségek"/>
    <x v="1"/>
    <n v="160000"/>
    <x v="34"/>
  </r>
  <r>
    <s v="2025.05.30"/>
    <n v="5302"/>
    <s v="Bank költségek"/>
    <x v="0"/>
    <n v="792"/>
    <x v="35"/>
  </r>
  <r>
    <s v="2025.05.30"/>
    <n v="382"/>
    <s v="Folyószámla"/>
    <x v="1"/>
    <n v="792"/>
    <x v="35"/>
  </r>
  <r>
    <s v="2025.05.27"/>
    <n v="5304"/>
    <s v="Jogi költségek"/>
    <x v="0"/>
    <n v="160000"/>
    <x v="36"/>
  </r>
  <r>
    <s v="2025.05.27"/>
    <n v="454"/>
    <s v="Szállítók"/>
    <x v="1"/>
    <n v="160000"/>
    <x v="36"/>
  </r>
  <r>
    <s v="2025.05.16"/>
    <n v="5113"/>
    <s v="Üzemanyag"/>
    <x v="0"/>
    <n v="31504"/>
    <x v="37"/>
  </r>
  <r>
    <s v="2025.05.16"/>
    <n v="382"/>
    <s v="Folyószámla"/>
    <x v="1"/>
    <n v="31504"/>
    <x v="37"/>
  </r>
  <r>
    <s v="2025.05.12"/>
    <n v="5113"/>
    <s v="Üzemanyag"/>
    <x v="0"/>
    <n v="31693"/>
    <x v="38"/>
  </r>
  <r>
    <s v="2025.05.12"/>
    <n v="382"/>
    <s v="Folyószámla"/>
    <x v="1"/>
    <n v="31693"/>
    <x v="38"/>
  </r>
  <r>
    <s v="2025.05.08"/>
    <n v="621"/>
    <s v="Földterület költségei"/>
    <x v="0"/>
    <n v="150000"/>
    <x v="39"/>
  </r>
  <r>
    <s v="2025.05.08"/>
    <n v="3832"/>
    <s v="Dániel homály pénztár zsebe"/>
    <x v="1"/>
    <n v="150000"/>
    <x v="39"/>
  </r>
  <r>
    <s v="2025.04.30"/>
    <n v="5302"/>
    <s v="Bank költségek"/>
    <x v="0"/>
    <n v="792"/>
    <x v="40"/>
  </r>
  <r>
    <s v="2025.04.30"/>
    <n v="382"/>
    <s v="Folyószámla"/>
    <x v="1"/>
    <n v="792"/>
    <x v="40"/>
  </r>
  <r>
    <s v="2025.04.28"/>
    <n v="5113"/>
    <s v="Üzemanyag"/>
    <x v="0"/>
    <n v="30001"/>
    <x v="41"/>
  </r>
  <r>
    <s v="2025.04.28"/>
    <n v="382"/>
    <s v="Folyószámla"/>
    <x v="1"/>
    <n v="30001"/>
    <x v="41"/>
  </r>
  <r>
    <s v="2025.03.31"/>
    <n v="382"/>
    <s v="Folyószámla"/>
    <x v="0"/>
    <n v="163"/>
    <x v="42"/>
  </r>
  <r>
    <s v="2025.03.31"/>
    <n v="973"/>
    <s v="Hitelintézettől kapott kamatok"/>
    <x v="1"/>
    <n v="163"/>
    <x v="42"/>
  </r>
  <r>
    <s v="2025.03.31"/>
    <n v="5302"/>
    <s v="Bank költségek"/>
    <x v="0"/>
    <n v="764"/>
    <x v="43"/>
  </r>
  <r>
    <s v="2025.03.31"/>
    <n v="382"/>
    <s v="Folyószámla"/>
    <x v="1"/>
    <n v="764"/>
    <x v="43"/>
  </r>
  <r>
    <s v="2025.03.31"/>
    <n v="5302"/>
    <s v="Bank költségek"/>
    <x v="0"/>
    <n v="360"/>
    <x v="44"/>
  </r>
  <r>
    <s v="2025.03.31"/>
    <n v="382"/>
    <s v="Folyószámla"/>
    <x v="1"/>
    <n v="360"/>
    <x v="44"/>
  </r>
  <r>
    <s v="2025.03.28"/>
    <n v="129"/>
    <s v="Ingatlanok homály érték növekedése"/>
    <x v="0"/>
    <n v="1000000"/>
    <x v="45"/>
  </r>
  <r>
    <s v="2025.03.28"/>
    <n v="3832"/>
    <s v="Dániel homály pénztár zsebe"/>
    <x v="1"/>
    <n v="1000000"/>
    <x v="45"/>
  </r>
  <r>
    <s v="2025.03.14"/>
    <n v="6306"/>
    <s v="Hatósági díjak"/>
    <x v="0"/>
    <n v="21200"/>
    <x v="46"/>
  </r>
  <r>
    <s v="2025.03.14"/>
    <n v="3831"/>
    <s v="Pál homály pénztár zsebe"/>
    <x v="1"/>
    <n v="21200"/>
    <x v="46"/>
  </r>
  <r>
    <s v="2025.03.13"/>
    <n v="5304"/>
    <s v="Jogi költségek"/>
    <x v="0"/>
    <n v="80000"/>
    <x v="47"/>
  </r>
  <r>
    <s v="2025.03.13"/>
    <n v="454"/>
    <s v="Szállítók"/>
    <x v="0"/>
    <n v="80000"/>
    <x v="47"/>
  </r>
  <r>
    <s v="2025.03.13"/>
    <n v="382"/>
    <s v="Folyószámla"/>
    <x v="1"/>
    <n v="80000"/>
    <x v="47"/>
  </r>
  <r>
    <s v="2025.03.13"/>
    <n v="5304"/>
    <s v="Jogi költségek"/>
    <x v="1"/>
    <n v="80000"/>
    <x v="47"/>
  </r>
  <r>
    <s v="2025.03.12"/>
    <n v="5304"/>
    <s v="Jogi költségek"/>
    <x v="0"/>
    <n v="80000"/>
    <x v="48"/>
  </r>
  <r>
    <s v="2025.03.12"/>
    <n v="454"/>
    <s v="Szállítók"/>
    <x v="1"/>
    <n v="80000"/>
    <x v="48"/>
  </r>
  <r>
    <s v="2025.02.28"/>
    <n v="953"/>
    <s v="Földvásárlási alap befizetés"/>
    <x v="0"/>
    <n v="50000000"/>
    <x v="49"/>
  </r>
  <r>
    <s v="2025.02.28"/>
    <n v="411"/>
    <s v="Jegyzett tőke"/>
    <x v="1"/>
    <n v="50000000"/>
    <x v="49"/>
  </r>
  <r>
    <s v="2025.02.28"/>
    <n v="5302"/>
    <s v="Bank költségek"/>
    <x v="0"/>
    <n v="20000"/>
    <x v="50"/>
  </r>
  <r>
    <s v="2025.02.28"/>
    <n v="382"/>
    <s v="Folyószámla"/>
    <x v="1"/>
    <n v="20000"/>
    <x v="50"/>
  </r>
  <r>
    <s v="2025.02.28"/>
    <n v="5302"/>
    <s v="Bank költségek"/>
    <x v="0"/>
    <n v="764"/>
    <x v="51"/>
  </r>
  <r>
    <s v="2025.02.28"/>
    <n v="382"/>
    <s v="Folyószámla"/>
    <x v="1"/>
    <n v="764"/>
    <x v="51"/>
  </r>
  <r>
    <s v="2025.02.25"/>
    <n v="382"/>
    <s v="Folyószámla"/>
    <x v="0"/>
    <n v="12500000"/>
    <x v="52"/>
  </r>
  <r>
    <s v="2025.02.25"/>
    <n v="953"/>
    <s v="Földvásárlási alap befizetés"/>
    <x v="0"/>
    <n v="12500000"/>
    <x v="52"/>
  </r>
  <r>
    <s v="2025.02.25"/>
    <n v="953"/>
    <s v="Földvásárlási alap befizetés"/>
    <x v="1"/>
    <n v="12500000"/>
    <x v="52"/>
  </r>
  <r>
    <s v="2025.02.25"/>
    <n v="333"/>
    <s v="Földvásárlási alap előírás"/>
    <x v="1"/>
    <n v="12500000"/>
    <x v="52"/>
  </r>
  <r>
    <s v="2025.02.25"/>
    <n v="198"/>
    <s v="Földvásárlásra adott kölcsönök"/>
    <x v="0"/>
    <n v="43000000"/>
    <x v="53"/>
  </r>
  <r>
    <s v="2025.02.25"/>
    <n v="382"/>
    <s v="Folyószámla"/>
    <x v="1"/>
    <n v="43000000"/>
    <x v="53"/>
  </r>
  <r>
    <s v="2025.02.24"/>
    <n v="382"/>
    <s v="Folyószámla"/>
    <x v="0"/>
    <n v="12500000"/>
    <x v="54"/>
  </r>
  <r>
    <s v="2025.02.24"/>
    <n v="953"/>
    <s v="Földvásárlási alap befizetés"/>
    <x v="0"/>
    <n v="12500000"/>
    <x v="54"/>
  </r>
  <r>
    <s v="2025.02.24"/>
    <n v="953"/>
    <s v="Földvásárlási alap befizetés"/>
    <x v="1"/>
    <n v="12500000"/>
    <x v="54"/>
  </r>
  <r>
    <s v="2025.02.24"/>
    <n v="333"/>
    <s v="Földvásárlási alap előírás"/>
    <x v="1"/>
    <n v="12500000"/>
    <x v="54"/>
  </r>
  <r>
    <s v="2025.02.21"/>
    <n v="382"/>
    <s v="Folyószámla"/>
    <x v="0"/>
    <n v="2500000"/>
    <x v="55"/>
  </r>
  <r>
    <s v="2025.02.21"/>
    <n v="953"/>
    <s v="Földvásárlási alap befizetés"/>
    <x v="0"/>
    <n v="2500000"/>
    <x v="55"/>
  </r>
  <r>
    <s v="2025.02.21"/>
    <n v="953"/>
    <s v="Földvásárlási alap befizetés"/>
    <x v="1"/>
    <n v="2500000"/>
    <x v="55"/>
  </r>
  <r>
    <s v="2025.02.21"/>
    <n v="333"/>
    <s v="Földvásárlási alap előírás"/>
    <x v="1"/>
    <n v="2500000"/>
    <x v="55"/>
  </r>
  <r>
    <s v="2025.02.21"/>
    <n v="382"/>
    <s v="Folyószámla"/>
    <x v="0"/>
    <n v="11500000"/>
    <x v="56"/>
  </r>
  <r>
    <s v="2025.02.21"/>
    <n v="953"/>
    <s v="Földvásárlási alap befizetés"/>
    <x v="0"/>
    <n v="11500000"/>
    <x v="56"/>
  </r>
  <r>
    <s v="2025.02.21"/>
    <n v="953"/>
    <s v="Földvásárlási alap befizetés"/>
    <x v="1"/>
    <n v="11500000"/>
    <x v="56"/>
  </r>
  <r>
    <s v="2025.02.21"/>
    <n v="333"/>
    <s v="Földvásárlási alap előírás"/>
    <x v="1"/>
    <n v="11500000"/>
    <x v="56"/>
  </r>
  <r>
    <s v="2025.02.21"/>
    <n v="5302"/>
    <s v="Bank költségek"/>
    <x v="0"/>
    <n v="148"/>
    <x v="57"/>
  </r>
  <r>
    <s v="2025.02.21"/>
    <n v="382"/>
    <s v="Folyószámla"/>
    <x v="1"/>
    <n v="148"/>
    <x v="57"/>
  </r>
  <r>
    <s v="2025.02.20"/>
    <n v="382"/>
    <s v="Folyószámla"/>
    <x v="0"/>
    <n v="10000000"/>
    <x v="58"/>
  </r>
  <r>
    <s v="2025.02.20"/>
    <n v="953"/>
    <s v="Földvásárlási alap befizetés"/>
    <x v="0"/>
    <n v="10000000"/>
    <x v="58"/>
  </r>
  <r>
    <s v="2025.02.20"/>
    <n v="953"/>
    <s v="Földvásárlási alap befizetés"/>
    <x v="1"/>
    <n v="10000000"/>
    <x v="58"/>
  </r>
  <r>
    <s v="2025.02.20"/>
    <n v="333"/>
    <s v="Földvásárlási alap előírás"/>
    <x v="1"/>
    <n v="10000000"/>
    <x v="58"/>
  </r>
  <r>
    <s v="2025.01.31"/>
    <n v="5302"/>
    <s v="Bank költségek"/>
    <x v="0"/>
    <n v="764"/>
    <x v="59"/>
  </r>
  <r>
    <s v="2025.01.31"/>
    <n v="382"/>
    <s v="Folyószámla"/>
    <x v="1"/>
    <n v="764"/>
    <x v="59"/>
  </r>
  <r>
    <s v="2025.01.16"/>
    <n v="333"/>
    <s v="Földvásárlási alap előírás"/>
    <x v="0"/>
    <n v="12500000"/>
    <x v="60"/>
  </r>
  <r>
    <s v="2025.01.16"/>
    <n v="953"/>
    <s v="Földvásárlási alap befizetés"/>
    <x v="1"/>
    <n v="12500000"/>
    <x v="60"/>
  </r>
  <r>
    <s v="2025.01.16"/>
    <n v="333"/>
    <s v="Földvásárlási alap előírás"/>
    <x v="0"/>
    <n v="12500000"/>
    <x v="61"/>
  </r>
  <r>
    <s v="2025.01.16"/>
    <n v="953"/>
    <s v="Földvásárlási alap befizetés"/>
    <x v="1"/>
    <n v="12500000"/>
    <x v="61"/>
  </r>
  <r>
    <s v="2025.01.16"/>
    <n v="333"/>
    <s v="Földvásárlási alap előírás"/>
    <x v="0"/>
    <n v="12500000"/>
    <x v="62"/>
  </r>
  <r>
    <s v="2025.01.16"/>
    <n v="953"/>
    <s v="Földvásárlási alap befizetés"/>
    <x v="1"/>
    <n v="12500000"/>
    <x v="62"/>
  </r>
  <r>
    <s v="2025.01.16"/>
    <n v="333"/>
    <s v="Földvásárlási alap előírás"/>
    <x v="0"/>
    <n v="12500000"/>
    <x v="63"/>
  </r>
  <r>
    <s v="2025.01.16"/>
    <n v="953"/>
    <s v="Földvásárlási alap befizetés"/>
    <x v="1"/>
    <n v="12500000"/>
    <x v="63"/>
  </r>
  <r>
    <s v="2025.01.16"/>
    <n v="198"/>
    <s v="Földvásárlásra adott kölcsönök"/>
    <x v="0"/>
    <n v="43000000"/>
    <x v="64"/>
  </r>
  <r>
    <s v="2025.01.16"/>
    <n v="454"/>
    <s v="Szállítók"/>
    <x v="1"/>
    <n v="43000000"/>
    <x v="64"/>
  </r>
  <r>
    <s v="2025.01.16"/>
    <n v="198"/>
    <s v="Földvásárlásra adott kölcsönök"/>
    <x v="0"/>
    <n v="-43000000"/>
    <x v="65"/>
  </r>
  <r>
    <s v="2025.01.16"/>
    <n v="454"/>
    <s v="Szállítók"/>
    <x v="1"/>
    <n v="-43000000"/>
    <x v="65"/>
  </r>
  <r>
    <s v="2025.01.06"/>
    <n v="3816"/>
    <s v="Laci pénztár zsebe"/>
    <x v="0"/>
    <n v="1000000"/>
    <x v="66"/>
  </r>
  <r>
    <s v="2025.01.06"/>
    <n v="953"/>
    <s v="Földvásárlási alap befizetés"/>
    <x v="0"/>
    <n v="1000000"/>
    <x v="66"/>
  </r>
  <r>
    <s v="2025.01.06"/>
    <n v="953"/>
    <s v="Földvásárlási alap befizetés"/>
    <x v="1"/>
    <n v="1000000"/>
    <x v="66"/>
  </r>
  <r>
    <s v="2025.01.06"/>
    <n v="333"/>
    <s v="Földvásárlási alap előírás"/>
    <x v="1"/>
    <n v="1000000"/>
    <x v="66"/>
  </r>
  <r>
    <s v="2025.01.06"/>
    <n v="3816"/>
    <s v="Laci pénztár zsebe"/>
    <x v="0"/>
    <n v="-1000000"/>
    <x v="67"/>
  </r>
  <r>
    <s v="2025.01.06"/>
    <n v="953"/>
    <s v="Földvásárlási alap befizetés"/>
    <x v="0"/>
    <n v="-1000000"/>
    <x v="67"/>
  </r>
  <r>
    <s v="2025.01.06"/>
    <n v="953"/>
    <s v="Földvásárlási alap befizetés"/>
    <x v="1"/>
    <n v="-1000000"/>
    <x v="67"/>
  </r>
  <r>
    <s v="2025.01.06"/>
    <n v="333"/>
    <s v="Földvásárlási alap előírás"/>
    <x v="1"/>
    <n v="-1000000"/>
    <x v="67"/>
  </r>
  <r>
    <s v="2025.01.05"/>
    <n v="192"/>
    <s v="Tagoknak adott kölcsönök"/>
    <x v="0"/>
    <n v="1000000"/>
    <x v="68"/>
  </r>
  <r>
    <s v="2025.01.05"/>
    <n v="3816"/>
    <s v="Laci pénztár zsebe"/>
    <x v="1"/>
    <n v="1000000"/>
    <x v="68"/>
  </r>
  <r>
    <s v="2025.01.05"/>
    <n v="3832"/>
    <s v="Dániel homály pénztár zsebe"/>
    <x v="0"/>
    <n v="1000000"/>
    <x v="69"/>
  </r>
  <r>
    <s v="2025.01.05"/>
    <n v="953"/>
    <s v="Földvásárlási alap befizetés"/>
    <x v="0"/>
    <n v="1000000"/>
    <x v="69"/>
  </r>
  <r>
    <s v="2025.01.05"/>
    <n v="953"/>
    <s v="Földvásárlási alap befizetés"/>
    <x v="1"/>
    <n v="1000000"/>
    <x v="69"/>
  </r>
  <r>
    <s v="2025.01.05"/>
    <n v="333"/>
    <s v="Földvásárlási alap előírás"/>
    <x v="1"/>
    <n v="1000000"/>
    <x v="69"/>
  </r>
  <r>
    <s v="2025.01.05"/>
    <n v="192"/>
    <s v="Tagoknak adott kölcsönök"/>
    <x v="0"/>
    <n v="-1000000"/>
    <x v="70"/>
  </r>
  <r>
    <s v="2025.01.05"/>
    <n v="3816"/>
    <s v="Laci pénztár zsebe"/>
    <x v="1"/>
    <n v="-1000000"/>
    <x v="70"/>
  </r>
  <r>
    <s v="2025.01.01"/>
    <n v="413"/>
    <s v="Eredménytartalék"/>
    <x v="0"/>
    <n v="5511"/>
    <x v="71"/>
  </r>
  <r>
    <s v="2025.01.01"/>
    <n v="419"/>
    <s v="Mérleg szerinti eredmény"/>
    <x v="1"/>
    <n v="5511"/>
    <x v="71"/>
  </r>
  <r>
    <s v="2024.12.31"/>
    <n v="5302"/>
    <s v="Bank költségek"/>
    <x v="0"/>
    <n v="255"/>
    <x v="72"/>
  </r>
  <r>
    <s v="2024.12.31"/>
    <n v="382"/>
    <s v="Folyószámla"/>
    <x v="1"/>
    <n v="255"/>
    <x v="72"/>
  </r>
  <r>
    <s v="2024.12.31"/>
    <n v="5302"/>
    <s v="Bank költségek"/>
    <x v="0"/>
    <n v="764"/>
    <x v="73"/>
  </r>
  <r>
    <s v="2024.12.31"/>
    <n v="382"/>
    <s v="Folyószámla"/>
    <x v="1"/>
    <n v="764"/>
    <x v="73"/>
  </r>
  <r>
    <s v="2024.12.31"/>
    <n v="382"/>
    <s v="Folyószámla"/>
    <x v="0"/>
    <n v="7"/>
    <x v="74"/>
  </r>
  <r>
    <s v="2024.12.31"/>
    <n v="973"/>
    <s v="Hitelintézettől kapott kamatok"/>
    <x v="1"/>
    <n v="7"/>
    <x v="74"/>
  </r>
  <r>
    <s v="2024.12.31"/>
    <n v="956"/>
    <s v="Tagbetét befizetés"/>
    <x v="0"/>
    <n v="3000000"/>
    <x v="75"/>
  </r>
  <r>
    <s v="2024.12.31"/>
    <n v="411"/>
    <s v="Jegyzett tőke"/>
    <x v="1"/>
    <n v="3000000"/>
    <x v="75"/>
  </r>
  <r>
    <s v="2024.12.31"/>
    <n v="90"/>
    <s v="Bevételek átvezetése"/>
    <x v="0"/>
    <n v="360008"/>
    <x v="76"/>
  </r>
  <r>
    <s v="2024.12.31"/>
    <n v="419"/>
    <s v="Mérleg szerinti eredmény"/>
    <x v="0"/>
    <n v="5511"/>
    <x v="76"/>
  </r>
  <r>
    <s v="2024.12.31"/>
    <n v="50"/>
    <s v="Kiadások átvezetése"/>
    <x v="1"/>
    <n v="365519"/>
    <x v="76"/>
  </r>
  <r>
    <s v="2024.12.31"/>
    <n v="954"/>
    <s v="Egyéb befizetés"/>
    <x v="0"/>
    <n v="560000"/>
    <x v="77"/>
  </r>
  <r>
    <s v="2024.12.31"/>
    <n v="75"/>
    <s v="Előírt homály befizetések"/>
    <x v="1"/>
    <n v="560000"/>
    <x v="77"/>
  </r>
  <r>
    <s v="2024.12.31"/>
    <n v="954"/>
    <s v="Egyéb befizetés"/>
    <x v="0"/>
    <n v="-560000"/>
    <x v="78"/>
  </r>
  <r>
    <s v="2024.12.31"/>
    <n v="75"/>
    <s v="Előírt homály befizetések"/>
    <x v="1"/>
    <n v="-560000"/>
    <x v="78"/>
  </r>
  <r>
    <s v="2024.12.23"/>
    <n v="382"/>
    <s v="Folyószámla"/>
    <x v="0"/>
    <n v="3000000"/>
    <x v="79"/>
  </r>
  <r>
    <s v="2024.12.23"/>
    <n v="3811"/>
    <s v="Pál pénztár zsebe"/>
    <x v="1"/>
    <n v="3000000"/>
    <x v="79"/>
  </r>
  <r>
    <s v="2024.12.23"/>
    <n v="5302"/>
    <s v="Bank költségek"/>
    <x v="0"/>
    <n v="4500"/>
    <x v="80"/>
  </r>
  <r>
    <s v="2024.12.23"/>
    <n v="382"/>
    <s v="Folyószámla"/>
    <x v="1"/>
    <n v="4500"/>
    <x v="80"/>
  </r>
  <r>
    <s v="2024.12.23"/>
    <n v="382"/>
    <s v="Folyószámla"/>
    <x v="0"/>
    <n v="1"/>
    <x v="81"/>
  </r>
  <r>
    <s v="2024.12.23"/>
    <n v="973"/>
    <s v="Hitelintézettől kapott kamatok"/>
    <x v="1"/>
    <n v="1"/>
    <x v="81"/>
  </r>
  <r>
    <s v="2024.12.21"/>
    <n v="6304"/>
    <s v="Jogi költségek"/>
    <x v="0"/>
    <n v="120000"/>
    <x v="82"/>
  </r>
  <r>
    <s v="2024.12.21"/>
    <n v="6304"/>
    <s v="Jogi költségek"/>
    <x v="0"/>
    <n v="10000"/>
    <x v="82"/>
  </r>
  <r>
    <s v="2024.12.21"/>
    <n v="3831"/>
    <s v="Pál homály pénztár zsebe"/>
    <x v="1"/>
    <n v="130000"/>
    <x v="82"/>
  </r>
  <r>
    <s v="2024.12.20"/>
    <n v="3831"/>
    <s v="Pál homály pénztár zsebe"/>
    <x v="0"/>
    <n v="30000"/>
    <x v="83"/>
  </r>
  <r>
    <s v="2024.12.20"/>
    <n v="75"/>
    <s v="Előírt homály befizetések"/>
    <x v="1"/>
    <n v="30000"/>
    <x v="83"/>
  </r>
  <r>
    <s v="2024.12.20"/>
    <n v="3831"/>
    <s v="Pál homály pénztár zsebe"/>
    <x v="0"/>
    <n v="30000"/>
    <x v="84"/>
  </r>
  <r>
    <s v="2024.12.20"/>
    <n v="75"/>
    <s v="Előírt homály befizetések"/>
    <x v="1"/>
    <n v="30000"/>
    <x v="84"/>
  </r>
  <r>
    <s v="2024.12.20"/>
    <n v="3831"/>
    <s v="Pál homály pénztár zsebe"/>
    <x v="0"/>
    <n v="30000"/>
    <x v="85"/>
  </r>
  <r>
    <s v="2024.12.20"/>
    <n v="75"/>
    <s v="Előírt homály befizetések"/>
    <x v="1"/>
    <n v="30000"/>
    <x v="85"/>
  </r>
  <r>
    <s v="2024.12.20"/>
    <n v="3831"/>
    <s v="Pál homály pénztár zsebe"/>
    <x v="0"/>
    <n v="30000"/>
    <x v="86"/>
  </r>
  <r>
    <s v="2024.12.20"/>
    <n v="75"/>
    <s v="Előírt homály befizetések"/>
    <x v="1"/>
    <n v="30000"/>
    <x v="86"/>
  </r>
  <r>
    <s v="2024.12.14"/>
    <n v="336"/>
    <s v="Tagbetét előírás"/>
    <x v="0"/>
    <n v="500000"/>
    <x v="87"/>
  </r>
  <r>
    <s v="2024.12.14"/>
    <n v="956"/>
    <s v="Tagbetét befizetés"/>
    <x v="1"/>
    <n v="500000"/>
    <x v="87"/>
  </r>
  <r>
    <s v="2024.12.14"/>
    <n v="336"/>
    <s v="Tagbetét előírás"/>
    <x v="0"/>
    <n v="500000"/>
    <x v="88"/>
  </r>
  <r>
    <s v="2024.12.14"/>
    <n v="956"/>
    <s v="Tagbetét befizetés"/>
    <x v="1"/>
    <n v="500000"/>
    <x v="88"/>
  </r>
  <r>
    <s v="2024.12.14"/>
    <n v="336"/>
    <s v="Tagbetét előírás"/>
    <x v="0"/>
    <n v="500000"/>
    <x v="89"/>
  </r>
  <r>
    <s v="2024.12.14"/>
    <n v="956"/>
    <s v="Tagbetét befizetés"/>
    <x v="1"/>
    <n v="500000"/>
    <x v="89"/>
  </r>
  <r>
    <s v="2024.12.14"/>
    <n v="336"/>
    <s v="Tagbetét előírás"/>
    <x v="0"/>
    <n v="500000"/>
    <x v="90"/>
  </r>
  <r>
    <s v="2024.12.14"/>
    <n v="956"/>
    <s v="Tagbetét befizetés"/>
    <x v="1"/>
    <n v="500000"/>
    <x v="90"/>
  </r>
  <r>
    <s v="2024.12.14"/>
    <n v="336"/>
    <s v="Tagbetét előírás"/>
    <x v="0"/>
    <n v="500000"/>
    <x v="91"/>
  </r>
  <r>
    <s v="2024.12.14"/>
    <n v="956"/>
    <s v="Tagbetét befizetés"/>
    <x v="1"/>
    <n v="500000"/>
    <x v="91"/>
  </r>
  <r>
    <s v="2024.12.14"/>
    <n v="336"/>
    <s v="Tagbetét előírás"/>
    <x v="0"/>
    <n v="500000"/>
    <x v="92"/>
  </r>
  <r>
    <s v="2024.12.14"/>
    <n v="956"/>
    <s v="Tagbetét befizetés"/>
    <x v="1"/>
    <n v="500000"/>
    <x v="92"/>
  </r>
  <r>
    <s v="2024.12.14"/>
    <n v="334"/>
    <s v="Egyéb előírás"/>
    <x v="0"/>
    <n v="112000"/>
    <x v="93"/>
  </r>
  <r>
    <s v="2024.12.14"/>
    <n v="335"/>
    <s v="Rendkivüli befizetés előírás"/>
    <x v="0"/>
    <n v="60000"/>
    <x v="93"/>
  </r>
  <r>
    <s v="2024.12.14"/>
    <n v="954"/>
    <s v="Egyéb befizetés"/>
    <x v="1"/>
    <n v="112000"/>
    <x v="93"/>
  </r>
  <r>
    <s v="2024.12.14"/>
    <n v="955"/>
    <s v="Rendkivüli befizetés"/>
    <x v="1"/>
    <n v="60000"/>
    <x v="93"/>
  </r>
  <r>
    <s v="2024.12.14"/>
    <n v="334"/>
    <s v="Egyéb előírás"/>
    <x v="0"/>
    <n v="112000"/>
    <x v="94"/>
  </r>
  <r>
    <s v="2024.12.14"/>
    <n v="335"/>
    <s v="Rendkivüli befizetés előírás"/>
    <x v="0"/>
    <n v="60000"/>
    <x v="94"/>
  </r>
  <r>
    <s v="2024.12.14"/>
    <n v="954"/>
    <s v="Egyéb befizetés"/>
    <x v="1"/>
    <n v="112000"/>
    <x v="94"/>
  </r>
  <r>
    <s v="2024.12.14"/>
    <n v="955"/>
    <s v="Rendkivüli befizetés"/>
    <x v="1"/>
    <n v="60000"/>
    <x v="94"/>
  </r>
  <r>
    <s v="2024.12.14"/>
    <n v="334"/>
    <s v="Egyéb előírás"/>
    <x v="0"/>
    <n v="112000"/>
    <x v="95"/>
  </r>
  <r>
    <s v="2024.12.14"/>
    <n v="335"/>
    <s v="Rendkivüli befizetés előírás"/>
    <x v="0"/>
    <n v="60000"/>
    <x v="95"/>
  </r>
  <r>
    <s v="2024.12.14"/>
    <n v="954"/>
    <s v="Egyéb befizetés"/>
    <x v="1"/>
    <n v="112000"/>
    <x v="95"/>
  </r>
  <r>
    <s v="2024.12.14"/>
    <n v="955"/>
    <s v="Rendkivüli befizetés"/>
    <x v="1"/>
    <n v="60000"/>
    <x v="95"/>
  </r>
  <r>
    <s v="2024.12.14"/>
    <n v="334"/>
    <s v="Egyéb előírás"/>
    <x v="0"/>
    <n v="112000"/>
    <x v="96"/>
  </r>
  <r>
    <s v="2024.12.14"/>
    <n v="335"/>
    <s v="Rendkivüli befizetés előírás"/>
    <x v="0"/>
    <n v="60000"/>
    <x v="96"/>
  </r>
  <r>
    <s v="2024.12.14"/>
    <n v="954"/>
    <s v="Egyéb befizetés"/>
    <x v="1"/>
    <n v="112000"/>
    <x v="96"/>
  </r>
  <r>
    <s v="2024.12.14"/>
    <n v="955"/>
    <s v="Rendkivüli befizetés"/>
    <x v="1"/>
    <n v="60000"/>
    <x v="96"/>
  </r>
  <r>
    <s v="2024.12.14"/>
    <n v="335"/>
    <s v="Rendkivüli befizetés előírás"/>
    <x v="0"/>
    <n v="60000"/>
    <x v="97"/>
  </r>
  <r>
    <s v="2024.12.14"/>
    <n v="955"/>
    <s v="Rendkivüli befizetés"/>
    <x v="1"/>
    <n v="60000"/>
    <x v="97"/>
  </r>
  <r>
    <s v="2024.12.14"/>
    <n v="335"/>
    <s v="Rendkivüli befizetés előírás"/>
    <x v="0"/>
    <n v="60000"/>
    <x v="98"/>
  </r>
  <r>
    <s v="2024.12.14"/>
    <n v="334"/>
    <s v="Egyéb előírás"/>
    <x v="0"/>
    <n v="112000"/>
    <x v="98"/>
  </r>
  <r>
    <s v="2024.12.14"/>
    <n v="955"/>
    <s v="Rendkivüli befizetés"/>
    <x v="1"/>
    <n v="60000"/>
    <x v="98"/>
  </r>
  <r>
    <s v="2024.12.14"/>
    <n v="954"/>
    <s v="Egyéb befizetés"/>
    <x v="1"/>
    <n v="112000"/>
    <x v="98"/>
  </r>
  <r>
    <s v="2024.12.11"/>
    <n v="3811"/>
    <s v="Pál pénztár zsebe"/>
    <x v="0"/>
    <n v="395000"/>
    <x v="99"/>
  </r>
  <r>
    <s v="2024.12.11"/>
    <n v="956"/>
    <s v="Tagbetét befizetés"/>
    <x v="0"/>
    <n v="395000"/>
    <x v="99"/>
  </r>
  <r>
    <s v="2024.12.11"/>
    <n v="956"/>
    <s v="Tagbetét befizetés"/>
    <x v="1"/>
    <n v="395000"/>
    <x v="99"/>
  </r>
  <r>
    <s v="2024.12.11"/>
    <n v="336"/>
    <s v="Tagbetét előírás"/>
    <x v="1"/>
    <n v="395000"/>
    <x v="99"/>
  </r>
  <r>
    <s v="2024.12.11"/>
    <n v="3811"/>
    <s v="Pál pénztár zsebe"/>
    <x v="0"/>
    <n v="500000"/>
    <x v="100"/>
  </r>
  <r>
    <s v="2024.12.11"/>
    <n v="956"/>
    <s v="Tagbetét befizetés"/>
    <x v="0"/>
    <n v="500000"/>
    <x v="100"/>
  </r>
  <r>
    <s v="2024.12.11"/>
    <n v="956"/>
    <s v="Tagbetét befizetés"/>
    <x v="1"/>
    <n v="500000"/>
    <x v="100"/>
  </r>
  <r>
    <s v="2024.12.11"/>
    <n v="336"/>
    <s v="Tagbetét előírás"/>
    <x v="1"/>
    <n v="500000"/>
    <x v="100"/>
  </r>
  <r>
    <s v="2024.12.11"/>
    <n v="3811"/>
    <s v="Pál pénztár zsebe"/>
    <x v="0"/>
    <n v="245000"/>
    <x v="101"/>
  </r>
  <r>
    <s v="2024.12.11"/>
    <n v="956"/>
    <s v="Tagbetét befizetés"/>
    <x v="0"/>
    <n v="245000"/>
    <x v="101"/>
  </r>
  <r>
    <s v="2024.12.11"/>
    <n v="956"/>
    <s v="Tagbetét befizetés"/>
    <x v="1"/>
    <n v="245000"/>
    <x v="101"/>
  </r>
  <r>
    <s v="2024.12.11"/>
    <n v="336"/>
    <s v="Tagbetét előírás"/>
    <x v="1"/>
    <n v="245000"/>
    <x v="101"/>
  </r>
  <r>
    <s v="2024.12.11"/>
    <n v="3811"/>
    <s v="Pál pénztár zsebe"/>
    <x v="0"/>
    <n v="500000"/>
    <x v="102"/>
  </r>
  <r>
    <s v="2024.12.11"/>
    <n v="956"/>
    <s v="Tagbetét befizetés"/>
    <x v="0"/>
    <n v="500000"/>
    <x v="102"/>
  </r>
  <r>
    <s v="2024.12.11"/>
    <n v="956"/>
    <s v="Tagbetét befizetés"/>
    <x v="1"/>
    <n v="500000"/>
    <x v="102"/>
  </r>
  <r>
    <s v="2024.12.11"/>
    <n v="336"/>
    <s v="Tagbetét előírás"/>
    <x v="1"/>
    <n v="500000"/>
    <x v="102"/>
  </r>
  <r>
    <s v="2024.12.11"/>
    <n v="3811"/>
    <s v="Pál pénztár zsebe"/>
    <x v="0"/>
    <n v="500000"/>
    <x v="103"/>
  </r>
  <r>
    <s v="2024.12.11"/>
    <n v="956"/>
    <s v="Tagbetét befizetés"/>
    <x v="0"/>
    <n v="500000"/>
    <x v="103"/>
  </r>
  <r>
    <s v="2024.12.11"/>
    <n v="956"/>
    <s v="Tagbetét befizetés"/>
    <x v="1"/>
    <n v="500000"/>
    <x v="103"/>
  </r>
  <r>
    <s v="2024.12.11"/>
    <n v="336"/>
    <s v="Tagbetét előírás"/>
    <x v="1"/>
    <n v="500000"/>
    <x v="103"/>
  </r>
  <r>
    <s v="2024.12.11"/>
    <n v="3811"/>
    <s v="Pál pénztár zsebe"/>
    <x v="0"/>
    <n v="172000"/>
    <x v="104"/>
  </r>
  <r>
    <s v="2024.12.11"/>
    <n v="955"/>
    <s v="Rendkivüli befizetés"/>
    <x v="0"/>
    <n v="60000"/>
    <x v="104"/>
  </r>
  <r>
    <s v="2024.12.11"/>
    <n v="954"/>
    <s v="Egyéb befizetés"/>
    <x v="0"/>
    <n v="112000"/>
    <x v="104"/>
  </r>
  <r>
    <s v="2024.12.11"/>
    <n v="955"/>
    <s v="Rendkivüli befizetés"/>
    <x v="1"/>
    <n v="60000"/>
    <x v="104"/>
  </r>
  <r>
    <s v="2024.12.11"/>
    <n v="335"/>
    <s v="Rendkivüli befizetés előírás"/>
    <x v="1"/>
    <n v="60000"/>
    <x v="104"/>
  </r>
  <r>
    <s v="2024.12.11"/>
    <n v="954"/>
    <s v="Egyéb befizetés"/>
    <x v="1"/>
    <n v="112000"/>
    <x v="104"/>
  </r>
  <r>
    <s v="2024.12.11"/>
    <n v="334"/>
    <s v="Egyéb előírás"/>
    <x v="1"/>
    <n v="112000"/>
    <x v="104"/>
  </r>
  <r>
    <s v="2024.12.11"/>
    <n v="3811"/>
    <s v="Pál pénztár zsebe"/>
    <x v="0"/>
    <n v="172000"/>
    <x v="105"/>
  </r>
  <r>
    <s v="2024.12.11"/>
    <n v="954"/>
    <s v="Egyéb befizetés"/>
    <x v="0"/>
    <n v="112000"/>
    <x v="105"/>
  </r>
  <r>
    <s v="2024.12.11"/>
    <n v="955"/>
    <s v="Rendkivüli befizetés"/>
    <x v="0"/>
    <n v="60000"/>
    <x v="105"/>
  </r>
  <r>
    <s v="2024.12.11"/>
    <n v="954"/>
    <s v="Egyéb befizetés"/>
    <x v="1"/>
    <n v="112000"/>
    <x v="105"/>
  </r>
  <r>
    <s v="2024.12.11"/>
    <n v="334"/>
    <s v="Egyéb előírás"/>
    <x v="1"/>
    <n v="112000"/>
    <x v="105"/>
  </r>
  <r>
    <s v="2024.12.11"/>
    <n v="955"/>
    <s v="Rendkivüli befizetés"/>
    <x v="1"/>
    <n v="60000"/>
    <x v="105"/>
  </r>
  <r>
    <s v="2024.12.11"/>
    <n v="335"/>
    <s v="Rendkivüli befizetés előírás"/>
    <x v="1"/>
    <n v="60000"/>
    <x v="105"/>
  </r>
  <r>
    <s v="2024.12.11"/>
    <n v="3811"/>
    <s v="Pál pénztár zsebe"/>
    <x v="0"/>
    <n v="172000"/>
    <x v="106"/>
  </r>
  <r>
    <s v="2024.12.11"/>
    <n v="954"/>
    <s v="Egyéb befizetés"/>
    <x v="0"/>
    <n v="112000"/>
    <x v="106"/>
  </r>
  <r>
    <s v="2024.12.11"/>
    <n v="955"/>
    <s v="Rendkivüli befizetés"/>
    <x v="0"/>
    <n v="60000"/>
    <x v="106"/>
  </r>
  <r>
    <s v="2024.12.11"/>
    <n v="954"/>
    <s v="Egyéb befizetés"/>
    <x v="1"/>
    <n v="112000"/>
    <x v="106"/>
  </r>
  <r>
    <s v="2024.12.11"/>
    <n v="334"/>
    <s v="Egyéb előírás"/>
    <x v="1"/>
    <n v="112000"/>
    <x v="106"/>
  </r>
  <r>
    <s v="2024.12.11"/>
    <n v="955"/>
    <s v="Rendkivüli befizetés"/>
    <x v="1"/>
    <n v="60000"/>
    <x v="106"/>
  </r>
  <r>
    <s v="2024.12.11"/>
    <n v="335"/>
    <s v="Rendkivüli befizetés előírás"/>
    <x v="1"/>
    <n v="60000"/>
    <x v="106"/>
  </r>
  <r>
    <s v="2024.12.11"/>
    <n v="3811"/>
    <s v="Pál pénztár zsebe"/>
    <x v="0"/>
    <n v="172000"/>
    <x v="107"/>
  </r>
  <r>
    <s v="2024.12.11"/>
    <n v="954"/>
    <s v="Egyéb befizetés"/>
    <x v="0"/>
    <n v="112000"/>
    <x v="107"/>
  </r>
  <r>
    <s v="2024.12.11"/>
    <n v="955"/>
    <s v="Rendkivüli befizetés"/>
    <x v="0"/>
    <n v="60000"/>
    <x v="107"/>
  </r>
  <r>
    <s v="2024.12.11"/>
    <n v="954"/>
    <s v="Egyéb befizetés"/>
    <x v="1"/>
    <n v="112000"/>
    <x v="107"/>
  </r>
  <r>
    <s v="2024.12.11"/>
    <n v="334"/>
    <s v="Egyéb előírás"/>
    <x v="1"/>
    <n v="112000"/>
    <x v="107"/>
  </r>
  <r>
    <s v="2024.12.11"/>
    <n v="955"/>
    <s v="Rendkivüli befizetés"/>
    <x v="1"/>
    <n v="60000"/>
    <x v="107"/>
  </r>
  <r>
    <s v="2024.12.11"/>
    <n v="335"/>
    <s v="Rendkivüli befizetés előírás"/>
    <x v="1"/>
    <n v="60000"/>
    <x v="107"/>
  </r>
  <r>
    <s v="2024.12.11"/>
    <n v="3811"/>
    <s v="Pál pénztár zsebe"/>
    <x v="0"/>
    <n v="112000"/>
    <x v="108"/>
  </r>
  <r>
    <s v="2024.12.11"/>
    <n v="954"/>
    <s v="Egyéb befizetés"/>
    <x v="0"/>
    <n v="112000"/>
    <x v="108"/>
  </r>
  <r>
    <s v="2024.12.11"/>
    <n v="954"/>
    <s v="Egyéb befizetés"/>
    <x v="1"/>
    <n v="112000"/>
    <x v="108"/>
  </r>
  <r>
    <s v="2024.12.11"/>
    <n v="334"/>
    <s v="Egyéb előírás"/>
    <x v="1"/>
    <n v="112000"/>
    <x v="108"/>
  </r>
  <r>
    <s v="2024.12.11"/>
    <n v="3811"/>
    <s v="Pál pénztár zsebe"/>
    <x v="0"/>
    <n v="60000"/>
    <x v="109"/>
  </r>
  <r>
    <s v="2024.12.11"/>
    <n v="955"/>
    <s v="Rendkivüli befizetés"/>
    <x v="0"/>
    <n v="60000"/>
    <x v="109"/>
  </r>
  <r>
    <s v="2024.12.11"/>
    <n v="955"/>
    <s v="Rendkivüli befizetés"/>
    <x v="1"/>
    <n v="60000"/>
    <x v="109"/>
  </r>
  <r>
    <s v="2024.12.11"/>
    <n v="335"/>
    <s v="Rendkivüli befizetés előírás"/>
    <x v="1"/>
    <n v="60000"/>
    <x v="109"/>
  </r>
  <r>
    <s v="2024.12.10"/>
    <n v="5304"/>
    <s v="Jogi költségek"/>
    <x v="0"/>
    <n v="250000"/>
    <x v="110"/>
  </r>
  <r>
    <s v="2024.12.10"/>
    <n v="5304"/>
    <s v="Jogi költségek"/>
    <x v="0"/>
    <n v="5000"/>
    <x v="110"/>
  </r>
  <r>
    <s v="2024.12.10"/>
    <n v="3811"/>
    <s v="Pál pénztár zsebe"/>
    <x v="1"/>
    <n v="255000"/>
    <x v="110"/>
  </r>
  <r>
    <s v="2024.12.10"/>
    <n v="3811"/>
    <s v="Pál pénztár zsebe"/>
    <x v="0"/>
    <n v="255000"/>
    <x v="111"/>
  </r>
  <r>
    <s v="2024.12.10"/>
    <n v="956"/>
    <s v="Tagbetét befizetés"/>
    <x v="0"/>
    <n v="255000"/>
    <x v="111"/>
  </r>
  <r>
    <s v="2024.12.10"/>
    <n v="956"/>
    <s v="Tagbetét befizetés"/>
    <x v="1"/>
    <n v="255000"/>
    <x v="111"/>
  </r>
  <r>
    <s v="2024.12.10"/>
    <n v="336"/>
    <s v="Tagbetét előírás"/>
    <x v="1"/>
    <n v="255000"/>
    <x v="111"/>
  </r>
  <r>
    <s v="2024.12.10"/>
    <n v="5306"/>
    <s v="Hatósági díjak"/>
    <x v="0"/>
    <n v="100000"/>
    <x v="112"/>
  </r>
  <r>
    <s v="2024.12.10"/>
    <n v="5306"/>
    <s v="Hatósági díjak"/>
    <x v="0"/>
    <n v="5000"/>
    <x v="112"/>
  </r>
  <r>
    <s v="2024.12.10"/>
    <n v="3812"/>
    <s v="Dániel pénztár zsebe"/>
    <x v="1"/>
    <n v="105000"/>
    <x v="112"/>
  </r>
  <r>
    <s v="2024.12.10"/>
    <n v="3812"/>
    <s v="Dániel pénztár zsebe"/>
    <x v="0"/>
    <n v="105000"/>
    <x v="113"/>
  </r>
  <r>
    <s v="2024.12.10"/>
    <n v="956"/>
    <s v="Tagbetét befizetés"/>
    <x v="0"/>
    <n v="105000"/>
    <x v="113"/>
  </r>
  <r>
    <s v="2024.12.10"/>
    <n v="956"/>
    <s v="Tagbetét befizetés"/>
    <x v="1"/>
    <n v="105000"/>
    <x v="113"/>
  </r>
  <r>
    <s v="2024.12.10"/>
    <n v="336"/>
    <s v="Tagbetét előírás"/>
    <x v="1"/>
    <n v="105000"/>
    <x v="113"/>
  </r>
  <r>
    <s v="2024.12.10"/>
    <n v="192"/>
    <s v="Tagoknak adott kölcsönök"/>
    <x v="0"/>
    <n v="560000"/>
    <x v="114"/>
  </r>
  <r>
    <s v="2024.12.10"/>
    <n v="3811"/>
    <s v="Pál pénztár zsebe"/>
    <x v="1"/>
    <n v="560000"/>
    <x v="114"/>
  </r>
  <r>
    <s v="2024.12.10"/>
    <n v="3836"/>
    <s v="Laci homály pénztár zsebe"/>
    <x v="0"/>
    <n v="560000"/>
    <x v="115"/>
  </r>
  <r>
    <s v="2024.12.10"/>
    <n v="956"/>
    <s v="Tagbetét befizetés"/>
    <x v="0"/>
    <n v="500000"/>
    <x v="115"/>
  </r>
  <r>
    <s v="2024.12.10"/>
    <n v="955"/>
    <s v="Rendkivüli befizetés"/>
    <x v="0"/>
    <n v="60000"/>
    <x v="115"/>
  </r>
  <r>
    <s v="2024.12.10"/>
    <n v="956"/>
    <s v="Tagbetét befizetés"/>
    <x v="1"/>
    <n v="500000"/>
    <x v="115"/>
  </r>
  <r>
    <s v="2024.12.10"/>
    <n v="336"/>
    <s v="Tagbetét előírás"/>
    <x v="1"/>
    <n v="500000"/>
    <x v="115"/>
  </r>
  <r>
    <s v="2024.12.10"/>
    <n v="955"/>
    <s v="Rendkivüli befizetés"/>
    <x v="1"/>
    <n v="60000"/>
    <x v="115"/>
  </r>
  <r>
    <s v="2024.12.10"/>
    <n v="335"/>
    <s v="Rendkivüli befizetés előírás"/>
    <x v="1"/>
    <n v="60000"/>
    <x v="115"/>
  </r>
  <r>
    <s v="2024.12.10"/>
    <n v="192"/>
    <s v="Tagoknak adott kölcsönök"/>
    <x v="0"/>
    <n v="-560000"/>
    <x v="116"/>
  </r>
  <r>
    <s v="2024.12.10"/>
    <n v="3811"/>
    <s v="Pál pénztár zsebe"/>
    <x v="1"/>
    <n v="-560000"/>
    <x v="116"/>
  </r>
  <r>
    <s v="2024.12.10"/>
    <n v="3836"/>
    <s v="Laci homály pénztár zsebe"/>
    <x v="0"/>
    <n v="-560000"/>
    <x v="117"/>
  </r>
  <r>
    <s v="2024.12.10"/>
    <n v="956"/>
    <s v="Tagbetét befizetés"/>
    <x v="0"/>
    <n v="-500000"/>
    <x v="117"/>
  </r>
  <r>
    <s v="2024.12.10"/>
    <n v="955"/>
    <s v="Rendkivüli befizetés"/>
    <x v="0"/>
    <n v="-60000"/>
    <x v="117"/>
  </r>
  <r>
    <s v="2024.12.10"/>
    <n v="956"/>
    <s v="Tagbetét befizetés"/>
    <x v="1"/>
    <n v="-500000"/>
    <x v="117"/>
  </r>
  <r>
    <s v="2024.12.10"/>
    <n v="336"/>
    <s v="Tagbetét előírás"/>
    <x v="1"/>
    <n v="-500000"/>
    <x v="117"/>
  </r>
  <r>
    <s v="2024.12.10"/>
    <n v="955"/>
    <s v="Rendkivüli befizetés"/>
    <x v="1"/>
    <n v="-60000"/>
    <x v="117"/>
  </r>
  <r>
    <s v="2024.12.10"/>
    <n v="335"/>
    <s v="Rendkivüli befizetés előírás"/>
    <x v="1"/>
    <n v="-60000"/>
    <x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F0493-5810-574D-9553-991EA4CD23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3" firstHeaderRow="1" firstDataRow="2" firstDataCol="1"/>
  <pivotFields count="6"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numFmtId="164" showAll="0"/>
    <pivotField axis="axisRow" dataField="1" showAll="0">
      <items count="119">
        <item x="79"/>
        <item x="6"/>
        <item x="99"/>
        <item x="106"/>
        <item x="107"/>
        <item x="108"/>
        <item x="115"/>
        <item x="117"/>
        <item x="58"/>
        <item x="55"/>
        <item x="54"/>
        <item x="52"/>
        <item x="56"/>
        <item x="66"/>
        <item x="67"/>
        <item x="111"/>
        <item x="109"/>
        <item x="69"/>
        <item x="100"/>
        <item x="101"/>
        <item x="102"/>
        <item x="103"/>
        <item x="113"/>
        <item x="104"/>
        <item x="105"/>
        <item x="47"/>
        <item x="34"/>
        <item x="4"/>
        <item x="5"/>
        <item x="80"/>
        <item x="68"/>
        <item x="70"/>
        <item x="50"/>
        <item x="51"/>
        <item x="46"/>
        <item x="43"/>
        <item x="44"/>
        <item x="40"/>
        <item x="41"/>
        <item x="38"/>
        <item x="37"/>
        <item x="72"/>
        <item x="35"/>
        <item x="25"/>
        <item x="26"/>
        <item x="27"/>
        <item x="28"/>
        <item x="45"/>
        <item x="39"/>
        <item x="10"/>
        <item x="7"/>
        <item x="11"/>
        <item x="73"/>
        <item x="19"/>
        <item x="23"/>
        <item x="20"/>
        <item x="21"/>
        <item x="24"/>
        <item x="22"/>
        <item x="18"/>
        <item x="15"/>
        <item x="17"/>
        <item x="13"/>
        <item x="110"/>
        <item x="16"/>
        <item x="33"/>
        <item x="32"/>
        <item x="29"/>
        <item x="30"/>
        <item x="1"/>
        <item x="2"/>
        <item x="112"/>
        <item x="59"/>
        <item x="57"/>
        <item x="53"/>
        <item x="82"/>
        <item x="81"/>
        <item x="9"/>
        <item x="3"/>
        <item x="31"/>
        <item x="74"/>
        <item x="83"/>
        <item x="84"/>
        <item x="85"/>
        <item x="86"/>
        <item x="42"/>
        <item x="14"/>
        <item x="8"/>
        <item x="87"/>
        <item x="63"/>
        <item x="93"/>
        <item x="94"/>
        <item x="95"/>
        <item x="96"/>
        <item x="97"/>
        <item x="98"/>
        <item x="88"/>
        <item x="89"/>
        <item x="90"/>
        <item x="91"/>
        <item x="92"/>
        <item x="60"/>
        <item x="61"/>
        <item x="62"/>
        <item x="64"/>
        <item x="65"/>
        <item x="48"/>
        <item x="36"/>
        <item x="0"/>
        <item x="12"/>
        <item x="75"/>
        <item x="76"/>
        <item x="114"/>
        <item x="116"/>
        <item x="77"/>
        <item x="78"/>
        <item x="71"/>
        <item x="49"/>
        <item t="default"/>
      </items>
    </pivotField>
  </pivotFields>
  <rowFields count="1">
    <field x="5"/>
  </rowFields>
  <rowItems count="1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tranzakció Egyedi azonosító" fld="5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rina.honline.hu/accounting" TargetMode="External"/><Relationship Id="rId2" Type="http://schemas.openxmlformats.org/officeDocument/2006/relationships/hyperlink" Target="https://marina.honline.hu/accounting" TargetMode="External"/><Relationship Id="rId1" Type="http://schemas.openxmlformats.org/officeDocument/2006/relationships/hyperlink" Target="https://marina.honline.hu/accounting" TargetMode="External"/><Relationship Id="rId6" Type="http://schemas.openxmlformats.org/officeDocument/2006/relationships/hyperlink" Target="mailto:info@honline.hu" TargetMode="External"/><Relationship Id="rId5" Type="http://schemas.openxmlformats.org/officeDocument/2006/relationships/hyperlink" Target="https://marina.honline.hu/atlathato-tarsashazkezeles-online" TargetMode="External"/><Relationship Id="rId4" Type="http://schemas.openxmlformats.org/officeDocument/2006/relationships/hyperlink" Target="https://marina.honline.hu/account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5E49-74D0-F240-9364-749AAD1F210B}">
  <dimension ref="A3:D123"/>
  <sheetViews>
    <sheetView workbookViewId="0">
      <selection activeCell="D28" sqref="D28"/>
    </sheetView>
  </sheetViews>
  <sheetFormatPr baseColWidth="10" defaultRowHeight="15"/>
  <cols>
    <col min="1" max="1" width="29.6640625" bestFit="1" customWidth="1"/>
    <col min="2" max="2" width="14.6640625" bestFit="1" customWidth="1"/>
    <col min="3" max="3" width="4.1640625" bestFit="1" customWidth="1"/>
    <col min="4" max="4" width="10" bestFit="1" customWidth="1"/>
  </cols>
  <sheetData>
    <row r="3" spans="1:4">
      <c r="A3" s="7" t="s">
        <v>602</v>
      </c>
      <c r="B3" s="7" t="s">
        <v>603</v>
      </c>
    </row>
    <row r="4" spans="1:4">
      <c r="A4" s="7" t="s">
        <v>600</v>
      </c>
      <c r="B4" t="s">
        <v>8</v>
      </c>
      <c r="C4" t="s">
        <v>6</v>
      </c>
      <c r="D4" t="s">
        <v>601</v>
      </c>
    </row>
    <row r="5" spans="1:4">
      <c r="A5" s="8" t="s">
        <v>131</v>
      </c>
      <c r="B5">
        <v>1</v>
      </c>
      <c r="C5">
        <v>1</v>
      </c>
      <c r="D5">
        <v>2</v>
      </c>
    </row>
    <row r="6" spans="1:4">
      <c r="A6" s="8" t="s">
        <v>18</v>
      </c>
      <c r="B6">
        <v>1</v>
      </c>
      <c r="C6">
        <v>1</v>
      </c>
      <c r="D6">
        <v>2</v>
      </c>
    </row>
    <row r="7" spans="1:4">
      <c r="A7" s="8" t="s">
        <v>155</v>
      </c>
      <c r="B7">
        <v>2</v>
      </c>
      <c r="C7">
        <v>2</v>
      </c>
      <c r="D7">
        <v>4</v>
      </c>
    </row>
    <row r="8" spans="1:4">
      <c r="A8" s="8" t="s">
        <v>162</v>
      </c>
      <c r="B8">
        <v>4</v>
      </c>
      <c r="C8">
        <v>3</v>
      </c>
      <c r="D8">
        <v>7</v>
      </c>
    </row>
    <row r="9" spans="1:4">
      <c r="A9" s="8" t="s">
        <v>163</v>
      </c>
      <c r="B9">
        <v>4</v>
      </c>
      <c r="C9">
        <v>3</v>
      </c>
      <c r="D9">
        <v>7</v>
      </c>
    </row>
    <row r="10" spans="1:4">
      <c r="A10" s="8" t="s">
        <v>164</v>
      </c>
      <c r="B10">
        <v>2</v>
      </c>
      <c r="C10">
        <v>2</v>
      </c>
      <c r="D10">
        <v>4</v>
      </c>
    </row>
    <row r="11" spans="1:4">
      <c r="A11" s="8" t="s">
        <v>172</v>
      </c>
      <c r="B11">
        <v>4</v>
      </c>
      <c r="C11">
        <v>3</v>
      </c>
      <c r="D11">
        <v>7</v>
      </c>
    </row>
    <row r="12" spans="1:4">
      <c r="A12" s="8" t="s">
        <v>174</v>
      </c>
      <c r="B12">
        <v>4</v>
      </c>
      <c r="C12">
        <v>3</v>
      </c>
      <c r="D12">
        <v>7</v>
      </c>
    </row>
    <row r="13" spans="1:4">
      <c r="A13" s="8" t="s">
        <v>103</v>
      </c>
      <c r="B13">
        <v>2</v>
      </c>
      <c r="C13">
        <v>2</v>
      </c>
      <c r="D13">
        <v>4</v>
      </c>
    </row>
    <row r="14" spans="1:4">
      <c r="A14" s="8" t="s">
        <v>99</v>
      </c>
      <c r="B14">
        <v>2</v>
      </c>
      <c r="C14">
        <v>2</v>
      </c>
      <c r="D14">
        <v>4</v>
      </c>
    </row>
    <row r="15" spans="1:4">
      <c r="A15" s="8" t="s">
        <v>97</v>
      </c>
      <c r="B15">
        <v>2</v>
      </c>
      <c r="C15">
        <v>2</v>
      </c>
      <c r="D15">
        <v>4</v>
      </c>
    </row>
    <row r="16" spans="1:4">
      <c r="A16" s="8" t="s">
        <v>94</v>
      </c>
      <c r="B16">
        <v>2</v>
      </c>
      <c r="C16">
        <v>2</v>
      </c>
      <c r="D16">
        <v>4</v>
      </c>
    </row>
    <row r="17" spans="1:4">
      <c r="A17" s="8" t="s">
        <v>100</v>
      </c>
      <c r="B17">
        <v>2</v>
      </c>
      <c r="C17">
        <v>2</v>
      </c>
      <c r="D17">
        <v>4</v>
      </c>
    </row>
    <row r="18" spans="1:4">
      <c r="A18" s="8" t="s">
        <v>114</v>
      </c>
      <c r="B18">
        <v>2</v>
      </c>
      <c r="C18">
        <v>2</v>
      </c>
      <c r="D18">
        <v>4</v>
      </c>
    </row>
    <row r="19" spans="1:4">
      <c r="A19" s="8" t="s">
        <v>115</v>
      </c>
      <c r="B19">
        <v>2</v>
      </c>
      <c r="C19">
        <v>2</v>
      </c>
      <c r="D19">
        <v>4</v>
      </c>
    </row>
    <row r="20" spans="1:4">
      <c r="A20" s="8" t="s">
        <v>168</v>
      </c>
      <c r="B20">
        <v>2</v>
      </c>
      <c r="C20">
        <v>2</v>
      </c>
      <c r="D20">
        <v>4</v>
      </c>
    </row>
    <row r="21" spans="1:4">
      <c r="A21" s="8" t="s">
        <v>165</v>
      </c>
      <c r="B21">
        <v>2</v>
      </c>
      <c r="C21">
        <v>2</v>
      </c>
      <c r="D21">
        <v>4</v>
      </c>
    </row>
    <row r="22" spans="1:4">
      <c r="A22" s="8" t="s">
        <v>118</v>
      </c>
      <c r="B22">
        <v>2</v>
      </c>
      <c r="C22">
        <v>2</v>
      </c>
      <c r="D22">
        <v>4</v>
      </c>
    </row>
    <row r="23" spans="1:4">
      <c r="A23" s="8" t="s">
        <v>156</v>
      </c>
      <c r="B23">
        <v>2</v>
      </c>
      <c r="C23">
        <v>2</v>
      </c>
      <c r="D23">
        <v>4</v>
      </c>
    </row>
    <row r="24" spans="1:4">
      <c r="A24" s="8" t="s">
        <v>157</v>
      </c>
      <c r="B24">
        <v>2</v>
      </c>
      <c r="C24">
        <v>2</v>
      </c>
      <c r="D24">
        <v>4</v>
      </c>
    </row>
    <row r="25" spans="1:4">
      <c r="A25" s="8" t="s">
        <v>158</v>
      </c>
      <c r="B25">
        <v>2</v>
      </c>
      <c r="C25">
        <v>2</v>
      </c>
      <c r="D25">
        <v>4</v>
      </c>
    </row>
    <row r="26" spans="1:4">
      <c r="A26" s="8" t="s">
        <v>159</v>
      </c>
      <c r="B26">
        <v>2</v>
      </c>
      <c r="C26">
        <v>2</v>
      </c>
      <c r="D26">
        <v>4</v>
      </c>
    </row>
    <row r="27" spans="1:4">
      <c r="A27" s="8" t="s">
        <v>170</v>
      </c>
      <c r="B27">
        <v>2</v>
      </c>
      <c r="C27">
        <v>2</v>
      </c>
      <c r="D27">
        <v>4</v>
      </c>
    </row>
    <row r="28" spans="1:4">
      <c r="A28" s="8" t="s">
        <v>160</v>
      </c>
      <c r="B28">
        <v>4</v>
      </c>
      <c r="C28">
        <v>3</v>
      </c>
      <c r="D28">
        <v>7</v>
      </c>
    </row>
    <row r="29" spans="1:4">
      <c r="A29" s="8" t="s">
        <v>161</v>
      </c>
      <c r="B29">
        <v>4</v>
      </c>
      <c r="C29">
        <v>3</v>
      </c>
      <c r="D29">
        <v>7</v>
      </c>
    </row>
    <row r="30" spans="1:4">
      <c r="A30" s="8" t="s">
        <v>86</v>
      </c>
      <c r="B30">
        <v>2</v>
      </c>
      <c r="C30">
        <v>2</v>
      </c>
      <c r="D30">
        <v>4</v>
      </c>
    </row>
    <row r="31" spans="1:4">
      <c r="A31" s="8" t="s">
        <v>62</v>
      </c>
      <c r="B31">
        <v>2</v>
      </c>
      <c r="C31">
        <v>2</v>
      </c>
      <c r="D31">
        <v>4</v>
      </c>
    </row>
    <row r="32" spans="1:4">
      <c r="A32" s="8" t="s">
        <v>15</v>
      </c>
      <c r="B32">
        <v>2</v>
      </c>
      <c r="C32">
        <v>2</v>
      </c>
      <c r="D32">
        <v>4</v>
      </c>
    </row>
    <row r="33" spans="1:4">
      <c r="A33" s="8" t="s">
        <v>16</v>
      </c>
      <c r="B33">
        <v>2</v>
      </c>
      <c r="C33">
        <v>2</v>
      </c>
      <c r="D33">
        <v>4</v>
      </c>
    </row>
    <row r="34" spans="1:4">
      <c r="A34" s="8" t="s">
        <v>132</v>
      </c>
      <c r="B34">
        <v>1</v>
      </c>
      <c r="C34">
        <v>1</v>
      </c>
      <c r="D34">
        <v>2</v>
      </c>
    </row>
    <row r="35" spans="1:4">
      <c r="A35" s="8" t="s">
        <v>117</v>
      </c>
      <c r="B35">
        <v>1</v>
      </c>
      <c r="C35">
        <v>1</v>
      </c>
      <c r="D35">
        <v>2</v>
      </c>
    </row>
    <row r="36" spans="1:4">
      <c r="A36" s="8" t="s">
        <v>119</v>
      </c>
      <c r="B36">
        <v>1</v>
      </c>
      <c r="C36">
        <v>1</v>
      </c>
      <c r="D36">
        <v>2</v>
      </c>
    </row>
    <row r="37" spans="1:4">
      <c r="A37" s="8" t="s">
        <v>91</v>
      </c>
      <c r="B37">
        <v>1</v>
      </c>
      <c r="C37">
        <v>1</v>
      </c>
      <c r="D37">
        <v>2</v>
      </c>
    </row>
    <row r="38" spans="1:4">
      <c r="A38" s="8" t="s">
        <v>92</v>
      </c>
      <c r="B38">
        <v>1</v>
      </c>
      <c r="C38">
        <v>1</v>
      </c>
      <c r="D38">
        <v>2</v>
      </c>
    </row>
    <row r="39" spans="1:4">
      <c r="A39" s="8" t="s">
        <v>84</v>
      </c>
      <c r="B39">
        <v>1</v>
      </c>
      <c r="C39">
        <v>1</v>
      </c>
      <c r="D39">
        <v>2</v>
      </c>
    </row>
    <row r="40" spans="1:4">
      <c r="A40" s="8" t="s">
        <v>79</v>
      </c>
      <c r="B40">
        <v>1</v>
      </c>
      <c r="C40">
        <v>1</v>
      </c>
      <c r="D40">
        <v>2</v>
      </c>
    </row>
    <row r="41" spans="1:4">
      <c r="A41" s="8" t="s">
        <v>80</v>
      </c>
      <c r="B41">
        <v>1</v>
      </c>
      <c r="C41">
        <v>1</v>
      </c>
      <c r="D41">
        <v>2</v>
      </c>
    </row>
    <row r="42" spans="1:4">
      <c r="A42" s="8" t="s">
        <v>74</v>
      </c>
      <c r="B42">
        <v>1</v>
      </c>
      <c r="C42">
        <v>1</v>
      </c>
      <c r="D42">
        <v>2</v>
      </c>
    </row>
    <row r="43" spans="1:4">
      <c r="A43" s="8" t="s">
        <v>76</v>
      </c>
      <c r="B43">
        <v>1</v>
      </c>
      <c r="C43">
        <v>1</v>
      </c>
      <c r="D43">
        <v>2</v>
      </c>
    </row>
    <row r="44" spans="1:4">
      <c r="A44" s="8" t="s">
        <v>70</v>
      </c>
      <c r="B44">
        <v>1</v>
      </c>
      <c r="C44">
        <v>1</v>
      </c>
      <c r="D44">
        <v>2</v>
      </c>
    </row>
    <row r="45" spans="1:4">
      <c r="A45" s="8" t="s">
        <v>68</v>
      </c>
      <c r="B45">
        <v>1</v>
      </c>
      <c r="C45">
        <v>1</v>
      </c>
      <c r="D45">
        <v>2</v>
      </c>
    </row>
    <row r="46" spans="1:4">
      <c r="A46" s="8" t="s">
        <v>123</v>
      </c>
      <c r="B46">
        <v>1</v>
      </c>
      <c r="C46">
        <v>1</v>
      </c>
      <c r="D46">
        <v>2</v>
      </c>
    </row>
    <row r="47" spans="1:4">
      <c r="A47" s="8" t="s">
        <v>64</v>
      </c>
      <c r="B47">
        <v>1</v>
      </c>
      <c r="C47">
        <v>1</v>
      </c>
      <c r="D47">
        <v>2</v>
      </c>
    </row>
    <row r="48" spans="1:4">
      <c r="A48" s="8" t="s">
        <v>49</v>
      </c>
      <c r="B48">
        <v>1</v>
      </c>
      <c r="C48">
        <v>1</v>
      </c>
      <c r="D48">
        <v>2</v>
      </c>
    </row>
    <row r="49" spans="1:4">
      <c r="A49" s="8" t="s">
        <v>50</v>
      </c>
      <c r="B49">
        <v>1</v>
      </c>
      <c r="C49">
        <v>1</v>
      </c>
      <c r="D49">
        <v>2</v>
      </c>
    </row>
    <row r="50" spans="1:4">
      <c r="A50" s="8" t="s">
        <v>51</v>
      </c>
      <c r="B50">
        <v>1</v>
      </c>
      <c r="C50">
        <v>1</v>
      </c>
      <c r="D50">
        <v>2</v>
      </c>
    </row>
    <row r="51" spans="1:4">
      <c r="A51" s="8" t="s">
        <v>52</v>
      </c>
      <c r="B51">
        <v>1</v>
      </c>
      <c r="C51">
        <v>1</v>
      </c>
      <c r="D51">
        <v>2</v>
      </c>
    </row>
    <row r="52" spans="1:4">
      <c r="A52" s="8" t="s">
        <v>82</v>
      </c>
      <c r="B52">
        <v>1</v>
      </c>
      <c r="C52">
        <v>1</v>
      </c>
      <c r="D52">
        <v>2</v>
      </c>
    </row>
    <row r="53" spans="1:4">
      <c r="A53" s="8" t="s">
        <v>72</v>
      </c>
      <c r="B53">
        <v>1</v>
      </c>
      <c r="C53">
        <v>1</v>
      </c>
      <c r="D53">
        <v>2</v>
      </c>
    </row>
    <row r="54" spans="1:4">
      <c r="A54" s="8" t="s">
        <v>24</v>
      </c>
      <c r="B54">
        <v>1</v>
      </c>
      <c r="C54">
        <v>1</v>
      </c>
      <c r="D54">
        <v>2</v>
      </c>
    </row>
    <row r="55" spans="1:4">
      <c r="A55" s="8" t="s">
        <v>20</v>
      </c>
      <c r="B55">
        <v>1</v>
      </c>
      <c r="C55">
        <v>1</v>
      </c>
      <c r="D55">
        <v>2</v>
      </c>
    </row>
    <row r="56" spans="1:4">
      <c r="A56" s="8" t="s">
        <v>25</v>
      </c>
      <c r="B56">
        <v>1</v>
      </c>
      <c r="C56">
        <v>1</v>
      </c>
      <c r="D56">
        <v>2</v>
      </c>
    </row>
    <row r="57" spans="1:4">
      <c r="A57" s="8" t="s">
        <v>124</v>
      </c>
      <c r="B57">
        <v>1</v>
      </c>
      <c r="C57">
        <v>1</v>
      </c>
      <c r="D57">
        <v>2</v>
      </c>
    </row>
    <row r="58" spans="1:4">
      <c r="A58" s="8" t="s">
        <v>39</v>
      </c>
      <c r="B58">
        <v>1</v>
      </c>
      <c r="C58">
        <v>1</v>
      </c>
      <c r="D58">
        <v>2</v>
      </c>
    </row>
    <row r="59" spans="1:4">
      <c r="A59" s="8" t="s">
        <v>46</v>
      </c>
      <c r="B59">
        <v>1</v>
      </c>
      <c r="C59">
        <v>1</v>
      </c>
      <c r="D59">
        <v>2</v>
      </c>
    </row>
    <row r="60" spans="1:4">
      <c r="A60" s="8" t="s">
        <v>41</v>
      </c>
      <c r="B60">
        <v>1</v>
      </c>
      <c r="C60">
        <v>1</v>
      </c>
      <c r="D60">
        <v>2</v>
      </c>
    </row>
    <row r="61" spans="1:4">
      <c r="A61" s="8" t="s">
        <v>42</v>
      </c>
      <c r="B61">
        <v>1</v>
      </c>
      <c r="C61">
        <v>1</v>
      </c>
      <c r="D61">
        <v>2</v>
      </c>
    </row>
    <row r="62" spans="1:4">
      <c r="A62" s="8" t="s">
        <v>47</v>
      </c>
      <c r="B62">
        <v>1</v>
      </c>
      <c r="C62">
        <v>1</v>
      </c>
      <c r="D62">
        <v>2</v>
      </c>
    </row>
    <row r="63" spans="1:4">
      <c r="A63" s="8" t="s">
        <v>44</v>
      </c>
      <c r="B63">
        <v>1</v>
      </c>
      <c r="C63">
        <v>1</v>
      </c>
      <c r="D63">
        <v>2</v>
      </c>
    </row>
    <row r="64" spans="1:4">
      <c r="A64" s="8" t="s">
        <v>37</v>
      </c>
      <c r="B64">
        <v>1</v>
      </c>
      <c r="C64">
        <v>1</v>
      </c>
      <c r="D64">
        <v>2</v>
      </c>
    </row>
    <row r="65" spans="1:4">
      <c r="A65" s="8" t="s">
        <v>31</v>
      </c>
      <c r="B65">
        <v>1</v>
      </c>
      <c r="C65">
        <v>1</v>
      </c>
      <c r="D65">
        <v>2</v>
      </c>
    </row>
    <row r="66" spans="1:4">
      <c r="A66" s="8" t="s">
        <v>35</v>
      </c>
      <c r="B66">
        <v>1</v>
      </c>
      <c r="C66">
        <v>1</v>
      </c>
      <c r="D66">
        <v>2</v>
      </c>
    </row>
    <row r="67" spans="1:4">
      <c r="A67" s="8" t="s">
        <v>28</v>
      </c>
      <c r="B67">
        <v>1</v>
      </c>
      <c r="C67">
        <v>1</v>
      </c>
      <c r="D67">
        <v>2</v>
      </c>
    </row>
    <row r="68" spans="1:4">
      <c r="A68" s="8" t="s">
        <v>167</v>
      </c>
      <c r="B68">
        <v>1</v>
      </c>
      <c r="C68">
        <v>2</v>
      </c>
      <c r="D68">
        <v>3</v>
      </c>
    </row>
    <row r="69" spans="1:4">
      <c r="A69" s="8" t="s">
        <v>33</v>
      </c>
      <c r="B69">
        <v>1</v>
      </c>
      <c r="C69">
        <v>1</v>
      </c>
      <c r="D69">
        <v>2</v>
      </c>
    </row>
    <row r="70" spans="1:4">
      <c r="A70" s="8" t="s">
        <v>60</v>
      </c>
      <c r="B70">
        <v>1</v>
      </c>
      <c r="C70">
        <v>1</v>
      </c>
      <c r="D70">
        <v>2</v>
      </c>
    </row>
    <row r="71" spans="1:4">
      <c r="A71" s="8" t="s">
        <v>58</v>
      </c>
      <c r="B71">
        <v>1</v>
      </c>
      <c r="C71">
        <v>1</v>
      </c>
      <c r="D71">
        <v>2</v>
      </c>
    </row>
    <row r="72" spans="1:4">
      <c r="A72" s="8" t="s">
        <v>54</v>
      </c>
      <c r="B72">
        <v>1</v>
      </c>
      <c r="C72">
        <v>1</v>
      </c>
      <c r="D72">
        <v>2</v>
      </c>
    </row>
    <row r="73" spans="1:4">
      <c r="A73" s="8" t="s">
        <v>55</v>
      </c>
      <c r="B73">
        <v>1</v>
      </c>
      <c r="C73">
        <v>1</v>
      </c>
      <c r="D73">
        <v>2</v>
      </c>
    </row>
    <row r="74" spans="1:4">
      <c r="A74" s="8" t="s">
        <v>10</v>
      </c>
      <c r="B74">
        <v>1</v>
      </c>
      <c r="C74">
        <v>1</v>
      </c>
      <c r="D74">
        <v>2</v>
      </c>
    </row>
    <row r="75" spans="1:4">
      <c r="A75" s="8" t="s">
        <v>11</v>
      </c>
      <c r="B75">
        <v>1</v>
      </c>
      <c r="C75">
        <v>1</v>
      </c>
      <c r="D75">
        <v>2</v>
      </c>
    </row>
    <row r="76" spans="1:4">
      <c r="A76" s="8" t="s">
        <v>169</v>
      </c>
      <c r="B76">
        <v>1</v>
      </c>
      <c r="C76">
        <v>2</v>
      </c>
      <c r="D76">
        <v>3</v>
      </c>
    </row>
    <row r="77" spans="1:4">
      <c r="A77" s="8" t="s">
        <v>105</v>
      </c>
      <c r="B77">
        <v>1</v>
      </c>
      <c r="C77">
        <v>1</v>
      </c>
      <c r="D77">
        <v>2</v>
      </c>
    </row>
    <row r="78" spans="1:4">
      <c r="A78" s="8" t="s">
        <v>101</v>
      </c>
      <c r="B78">
        <v>1</v>
      </c>
      <c r="C78">
        <v>1</v>
      </c>
      <c r="D78">
        <v>2</v>
      </c>
    </row>
    <row r="79" spans="1:4">
      <c r="A79" s="8" t="s">
        <v>95</v>
      </c>
      <c r="B79">
        <v>1</v>
      </c>
      <c r="C79">
        <v>1</v>
      </c>
      <c r="D79">
        <v>2</v>
      </c>
    </row>
    <row r="80" spans="1:4">
      <c r="A80" s="8" t="s">
        <v>135</v>
      </c>
      <c r="B80">
        <v>1</v>
      </c>
      <c r="C80">
        <v>2</v>
      </c>
      <c r="D80">
        <v>3</v>
      </c>
    </row>
    <row r="81" spans="1:4">
      <c r="A81" s="8" t="s">
        <v>133</v>
      </c>
      <c r="B81">
        <v>1</v>
      </c>
      <c r="C81">
        <v>1</v>
      </c>
      <c r="D81">
        <v>2</v>
      </c>
    </row>
    <row r="82" spans="1:4">
      <c r="A82" s="8" t="s">
        <v>22</v>
      </c>
      <c r="B82">
        <v>1</v>
      </c>
      <c r="C82">
        <v>1</v>
      </c>
      <c r="D82">
        <v>2</v>
      </c>
    </row>
    <row r="83" spans="1:4">
      <c r="A83" s="8" t="s">
        <v>13</v>
      </c>
      <c r="B83">
        <v>1</v>
      </c>
      <c r="C83">
        <v>1</v>
      </c>
      <c r="D83">
        <v>2</v>
      </c>
    </row>
    <row r="84" spans="1:4">
      <c r="A84" s="8" t="s">
        <v>56</v>
      </c>
      <c r="B84">
        <v>1</v>
      </c>
      <c r="C84">
        <v>1</v>
      </c>
      <c r="D84">
        <v>2</v>
      </c>
    </row>
    <row r="85" spans="1:4">
      <c r="A85" s="8" t="s">
        <v>125</v>
      </c>
      <c r="B85">
        <v>1</v>
      </c>
      <c r="C85">
        <v>1</v>
      </c>
      <c r="D85">
        <v>2</v>
      </c>
    </row>
    <row r="86" spans="1:4">
      <c r="A86" s="8" t="s">
        <v>137</v>
      </c>
      <c r="B86">
        <v>1</v>
      </c>
      <c r="C86">
        <v>1</v>
      </c>
      <c r="D86">
        <v>2</v>
      </c>
    </row>
    <row r="87" spans="1:4">
      <c r="A87" s="8" t="s">
        <v>138</v>
      </c>
      <c r="B87">
        <v>1</v>
      </c>
      <c r="C87">
        <v>1</v>
      </c>
      <c r="D87">
        <v>2</v>
      </c>
    </row>
    <row r="88" spans="1:4">
      <c r="A88" s="8" t="s">
        <v>139</v>
      </c>
      <c r="B88">
        <v>1</v>
      </c>
      <c r="C88">
        <v>1</v>
      </c>
      <c r="D88">
        <v>2</v>
      </c>
    </row>
    <row r="89" spans="1:4">
      <c r="A89" s="8" t="s">
        <v>140</v>
      </c>
      <c r="B89">
        <v>1</v>
      </c>
      <c r="C89">
        <v>1</v>
      </c>
      <c r="D89">
        <v>2</v>
      </c>
    </row>
    <row r="90" spans="1:4">
      <c r="A90" s="8" t="s">
        <v>78</v>
      </c>
      <c r="B90">
        <v>1</v>
      </c>
      <c r="C90">
        <v>1</v>
      </c>
      <c r="D90">
        <v>2</v>
      </c>
    </row>
    <row r="91" spans="1:4">
      <c r="A91" s="8" t="s">
        <v>29</v>
      </c>
      <c r="B91">
        <v>1</v>
      </c>
      <c r="C91">
        <v>1</v>
      </c>
      <c r="D91">
        <v>2</v>
      </c>
    </row>
    <row r="92" spans="1:4">
      <c r="A92" s="8" t="s">
        <v>21</v>
      </c>
      <c r="B92">
        <v>1</v>
      </c>
      <c r="C92">
        <v>1</v>
      </c>
      <c r="D92">
        <v>2</v>
      </c>
    </row>
    <row r="93" spans="1:4">
      <c r="A93" s="8" t="s">
        <v>142</v>
      </c>
      <c r="B93">
        <v>1</v>
      </c>
      <c r="C93">
        <v>1</v>
      </c>
      <c r="D93">
        <v>2</v>
      </c>
    </row>
    <row r="94" spans="1:4">
      <c r="A94" s="8" t="s">
        <v>110</v>
      </c>
      <c r="B94">
        <v>1</v>
      </c>
      <c r="C94">
        <v>1</v>
      </c>
      <c r="D94">
        <v>2</v>
      </c>
    </row>
    <row r="95" spans="1:4">
      <c r="A95" s="8" t="s">
        <v>148</v>
      </c>
      <c r="B95">
        <v>2</v>
      </c>
      <c r="C95">
        <v>2</v>
      </c>
      <c r="D95">
        <v>4</v>
      </c>
    </row>
    <row r="96" spans="1:4">
      <c r="A96" s="8" t="s">
        <v>149</v>
      </c>
      <c r="B96">
        <v>2</v>
      </c>
      <c r="C96">
        <v>2</v>
      </c>
      <c r="D96">
        <v>4</v>
      </c>
    </row>
    <row r="97" spans="1:4">
      <c r="A97" s="8" t="s">
        <v>150</v>
      </c>
      <c r="B97">
        <v>2</v>
      </c>
      <c r="C97">
        <v>2</v>
      </c>
      <c r="D97">
        <v>4</v>
      </c>
    </row>
    <row r="98" spans="1:4">
      <c r="A98" s="8" t="s">
        <v>151</v>
      </c>
      <c r="B98">
        <v>2</v>
      </c>
      <c r="C98">
        <v>2</v>
      </c>
      <c r="D98">
        <v>4</v>
      </c>
    </row>
    <row r="99" spans="1:4">
      <c r="A99" s="8" t="s">
        <v>152</v>
      </c>
      <c r="B99">
        <v>1</v>
      </c>
      <c r="C99">
        <v>1</v>
      </c>
      <c r="D99">
        <v>2</v>
      </c>
    </row>
    <row r="100" spans="1:4">
      <c r="A100" s="8" t="s">
        <v>153</v>
      </c>
      <c r="B100">
        <v>2</v>
      </c>
      <c r="C100">
        <v>2</v>
      </c>
      <c r="D100">
        <v>4</v>
      </c>
    </row>
    <row r="101" spans="1:4">
      <c r="A101" s="8" t="s">
        <v>143</v>
      </c>
      <c r="B101">
        <v>1</v>
      </c>
      <c r="C101">
        <v>1</v>
      </c>
      <c r="D101">
        <v>2</v>
      </c>
    </row>
    <row r="102" spans="1:4">
      <c r="A102" s="8" t="s">
        <v>144</v>
      </c>
      <c r="B102">
        <v>1</v>
      </c>
      <c r="C102">
        <v>1</v>
      </c>
      <c r="D102">
        <v>2</v>
      </c>
    </row>
    <row r="103" spans="1:4">
      <c r="A103" s="8" t="s">
        <v>145</v>
      </c>
      <c r="B103">
        <v>1</v>
      </c>
      <c r="C103">
        <v>1</v>
      </c>
      <c r="D103">
        <v>2</v>
      </c>
    </row>
    <row r="104" spans="1:4">
      <c r="A104" s="8" t="s">
        <v>146</v>
      </c>
      <c r="B104">
        <v>1</v>
      </c>
      <c r="C104">
        <v>1</v>
      </c>
      <c r="D104">
        <v>2</v>
      </c>
    </row>
    <row r="105" spans="1:4">
      <c r="A105" s="8" t="s">
        <v>147</v>
      </c>
      <c r="B105">
        <v>1</v>
      </c>
      <c r="C105">
        <v>1</v>
      </c>
      <c r="D105">
        <v>2</v>
      </c>
    </row>
    <row r="106" spans="1:4">
      <c r="A106" s="8" t="s">
        <v>107</v>
      </c>
      <c r="B106">
        <v>1</v>
      </c>
      <c r="C106">
        <v>1</v>
      </c>
      <c r="D106">
        <v>2</v>
      </c>
    </row>
    <row r="107" spans="1:4">
      <c r="A107" s="8" t="s">
        <v>108</v>
      </c>
      <c r="B107">
        <v>1</v>
      </c>
      <c r="C107">
        <v>1</v>
      </c>
      <c r="D107">
        <v>2</v>
      </c>
    </row>
    <row r="108" spans="1:4">
      <c r="A108" s="8" t="s">
        <v>109</v>
      </c>
      <c r="B108">
        <v>1</v>
      </c>
      <c r="C108">
        <v>1</v>
      </c>
      <c r="D108">
        <v>2</v>
      </c>
    </row>
    <row r="109" spans="1:4">
      <c r="A109" s="8" t="s">
        <v>111</v>
      </c>
      <c r="B109">
        <v>1</v>
      </c>
      <c r="C109">
        <v>1</v>
      </c>
      <c r="D109">
        <v>2</v>
      </c>
    </row>
    <row r="110" spans="1:4">
      <c r="A110" s="8" t="s">
        <v>112</v>
      </c>
      <c r="B110">
        <v>1</v>
      </c>
      <c r="C110">
        <v>1</v>
      </c>
      <c r="D110">
        <v>2</v>
      </c>
    </row>
    <row r="111" spans="1:4">
      <c r="A111" s="8" t="s">
        <v>88</v>
      </c>
      <c r="B111">
        <v>1</v>
      </c>
      <c r="C111">
        <v>1</v>
      </c>
      <c r="D111">
        <v>2</v>
      </c>
    </row>
    <row r="112" spans="1:4">
      <c r="A112" s="8" t="s">
        <v>66</v>
      </c>
      <c r="B112">
        <v>1</v>
      </c>
      <c r="C112">
        <v>1</v>
      </c>
      <c r="D112">
        <v>2</v>
      </c>
    </row>
    <row r="113" spans="1:4">
      <c r="A113" s="8" t="s">
        <v>7</v>
      </c>
      <c r="B113">
        <v>1</v>
      </c>
      <c r="C113">
        <v>1</v>
      </c>
      <c r="D113">
        <v>2</v>
      </c>
    </row>
    <row r="114" spans="1:4">
      <c r="A114" s="8" t="s">
        <v>26</v>
      </c>
      <c r="B114">
        <v>1</v>
      </c>
      <c r="C114">
        <v>1</v>
      </c>
      <c r="D114">
        <v>2</v>
      </c>
    </row>
    <row r="115" spans="1:4">
      <c r="A115" s="8" t="s">
        <v>126</v>
      </c>
      <c r="B115">
        <v>1</v>
      </c>
      <c r="C115">
        <v>1</v>
      </c>
      <c r="D115">
        <v>2</v>
      </c>
    </row>
    <row r="116" spans="1:4">
      <c r="A116" s="8" t="s">
        <v>127</v>
      </c>
      <c r="B116">
        <v>1</v>
      </c>
      <c r="C116">
        <v>2</v>
      </c>
      <c r="D116">
        <v>3</v>
      </c>
    </row>
    <row r="117" spans="1:4">
      <c r="A117" s="8" t="s">
        <v>171</v>
      </c>
      <c r="B117">
        <v>1</v>
      </c>
      <c r="C117">
        <v>1</v>
      </c>
      <c r="D117">
        <v>2</v>
      </c>
    </row>
    <row r="118" spans="1:4">
      <c r="A118" s="8" t="s">
        <v>173</v>
      </c>
      <c r="B118">
        <v>1</v>
      </c>
      <c r="C118">
        <v>1</v>
      </c>
      <c r="D118">
        <v>2</v>
      </c>
    </row>
    <row r="119" spans="1:4">
      <c r="A119" s="8" t="s">
        <v>128</v>
      </c>
      <c r="B119">
        <v>1</v>
      </c>
      <c r="C119">
        <v>1</v>
      </c>
      <c r="D119">
        <v>2</v>
      </c>
    </row>
    <row r="120" spans="1:4">
      <c r="A120" s="8" t="s">
        <v>129</v>
      </c>
      <c r="B120">
        <v>1</v>
      </c>
      <c r="C120">
        <v>1</v>
      </c>
      <c r="D120">
        <v>2</v>
      </c>
    </row>
    <row r="121" spans="1:4">
      <c r="A121" s="8" t="s">
        <v>121</v>
      </c>
      <c r="B121">
        <v>1</v>
      </c>
      <c r="C121">
        <v>1</v>
      </c>
      <c r="D121">
        <v>2</v>
      </c>
    </row>
    <row r="122" spans="1:4">
      <c r="A122" s="8" t="s">
        <v>90</v>
      </c>
      <c r="B122">
        <v>1</v>
      </c>
      <c r="C122">
        <v>1</v>
      </c>
      <c r="D122">
        <v>2</v>
      </c>
    </row>
    <row r="123" spans="1:4">
      <c r="A123" s="8" t="s">
        <v>601</v>
      </c>
      <c r="B123">
        <v>162</v>
      </c>
      <c r="C123">
        <v>160</v>
      </c>
      <c r="D123">
        <v>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3"/>
  <sheetViews>
    <sheetView workbookViewId="0">
      <selection activeCell="C324" sqref="C324"/>
    </sheetView>
  </sheetViews>
  <sheetFormatPr baseColWidth="10" defaultRowHeight="15"/>
  <cols>
    <col min="1" max="1" width="13" customWidth="1"/>
    <col min="2" max="3" width="52" customWidth="1"/>
    <col min="4" max="4" width="6.5" customWidth="1"/>
    <col min="5" max="5" width="14.33203125" style="6" customWidth="1"/>
    <col min="6" max="6" width="35.1640625" customWidth="1"/>
  </cols>
  <sheetData>
    <row r="1" spans="1:7">
      <c r="A1" s="1" t="s">
        <v>0</v>
      </c>
      <c r="B1" s="1" t="s">
        <v>462</v>
      </c>
      <c r="C1" s="1" t="s">
        <v>463</v>
      </c>
      <c r="D1" s="1" t="s">
        <v>1</v>
      </c>
      <c r="E1" s="5" t="s">
        <v>2</v>
      </c>
      <c r="F1" s="1" t="s">
        <v>3</v>
      </c>
      <c r="G1" s="1"/>
    </row>
    <row r="2" spans="1:7" hidden="1">
      <c r="A2" t="s">
        <v>5</v>
      </c>
      <c r="B2">
        <v>5306</v>
      </c>
      <c r="C2" t="str">
        <f>VLOOKUP(B2,számlarend!A:B,2,FALSE)</f>
        <v>Hatósági díjak</v>
      </c>
      <c r="D2" t="s">
        <v>6</v>
      </c>
      <c r="E2" s="6">
        <v>40000</v>
      </c>
      <c r="F2" t="s">
        <v>7</v>
      </c>
    </row>
    <row r="3" spans="1:7" hidden="1">
      <c r="A3" t="s">
        <v>5</v>
      </c>
      <c r="B3">
        <v>454</v>
      </c>
      <c r="C3" t="str">
        <f>VLOOKUP(B3,számlarend!A:B,2,FALSE)</f>
        <v>Szállítók</v>
      </c>
      <c r="D3" t="s">
        <v>8</v>
      </c>
      <c r="E3" s="6">
        <v>40000</v>
      </c>
      <c r="F3" t="s">
        <v>7</v>
      </c>
    </row>
    <row r="4" spans="1:7" hidden="1">
      <c r="A4" t="s">
        <v>9</v>
      </c>
      <c r="B4">
        <v>5302</v>
      </c>
      <c r="C4" t="str">
        <f>VLOOKUP(B4,számlarend!A:B,2,FALSE)</f>
        <v>Bank költségek</v>
      </c>
      <c r="D4" t="s">
        <v>6</v>
      </c>
      <c r="E4" s="6">
        <v>792</v>
      </c>
      <c r="F4" t="s">
        <v>10</v>
      </c>
    </row>
    <row r="5" spans="1:7" hidden="1">
      <c r="A5" t="s">
        <v>9</v>
      </c>
      <c r="B5">
        <v>382</v>
      </c>
      <c r="C5" t="str">
        <f>VLOOKUP(B5,számlarend!A:B,2,FALSE)</f>
        <v>Folyószámla</v>
      </c>
      <c r="D5" t="s">
        <v>8</v>
      </c>
      <c r="E5" s="6">
        <v>792</v>
      </c>
      <c r="F5" t="s">
        <v>10</v>
      </c>
    </row>
    <row r="6" spans="1:7" hidden="1">
      <c r="A6" t="s">
        <v>9</v>
      </c>
      <c r="B6">
        <v>5302</v>
      </c>
      <c r="C6" t="str">
        <f>VLOOKUP(B6,számlarend!A:B,2,FALSE)</f>
        <v>Bank költségek</v>
      </c>
      <c r="D6" t="s">
        <v>6</v>
      </c>
      <c r="E6" s="6">
        <v>486</v>
      </c>
      <c r="F6" t="s">
        <v>11</v>
      </c>
    </row>
    <row r="7" spans="1:7" hidden="1">
      <c r="A7" t="s">
        <v>9</v>
      </c>
      <c r="B7">
        <v>382</v>
      </c>
      <c r="C7" t="str">
        <f>VLOOKUP(B7,számlarend!A:B,2,FALSE)</f>
        <v>Folyószámla</v>
      </c>
      <c r="D7" t="s">
        <v>8</v>
      </c>
      <c r="E7" s="6">
        <v>486</v>
      </c>
      <c r="F7" t="s">
        <v>11</v>
      </c>
    </row>
    <row r="8" spans="1:7" hidden="1">
      <c r="A8" t="s">
        <v>12</v>
      </c>
      <c r="B8">
        <v>3831</v>
      </c>
      <c r="C8" t="str">
        <f>VLOOKUP(B8,számlarend!A:B,2,FALSE)</f>
        <v>Pál homály pénztár zsebe</v>
      </c>
      <c r="D8" t="s">
        <v>6</v>
      </c>
      <c r="E8" s="6">
        <v>149736</v>
      </c>
      <c r="F8" t="s">
        <v>13</v>
      </c>
    </row>
    <row r="9" spans="1:7" hidden="1">
      <c r="A9" t="s">
        <v>12</v>
      </c>
      <c r="B9">
        <v>711</v>
      </c>
      <c r="C9" t="str">
        <f>VLOOKUP(B9,számlarend!A:B,2,FALSE)</f>
        <v>Föld alapú támogatások</v>
      </c>
      <c r="D9" t="s">
        <v>8</v>
      </c>
      <c r="E9" s="6">
        <v>149736</v>
      </c>
      <c r="F9" t="s">
        <v>13</v>
      </c>
    </row>
    <row r="10" spans="1:7" hidden="1">
      <c r="A10" t="s">
        <v>14</v>
      </c>
      <c r="B10">
        <v>5306</v>
      </c>
      <c r="C10" t="str">
        <f>VLOOKUP(B10,számlarend!A:B,2,FALSE)</f>
        <v>Hatósági díjak</v>
      </c>
      <c r="D10" t="s">
        <v>6</v>
      </c>
      <c r="E10" s="6">
        <v>40000</v>
      </c>
      <c r="F10" t="s">
        <v>15</v>
      </c>
    </row>
    <row r="11" spans="1:7" hidden="1">
      <c r="A11" t="s">
        <v>14</v>
      </c>
      <c r="B11">
        <v>454</v>
      </c>
      <c r="C11" t="str">
        <f>VLOOKUP(B11,számlarend!A:B,2,FALSE)</f>
        <v>Szállítók</v>
      </c>
      <c r="D11" t="s">
        <v>6</v>
      </c>
      <c r="E11" s="6">
        <v>40000</v>
      </c>
      <c r="F11" t="s">
        <v>15</v>
      </c>
    </row>
    <row r="12" spans="1:7" hidden="1">
      <c r="A12" t="s">
        <v>14</v>
      </c>
      <c r="B12">
        <v>382</v>
      </c>
      <c r="C12" t="str">
        <f>VLOOKUP(B12,számlarend!A:B,2,FALSE)</f>
        <v>Folyószámla</v>
      </c>
      <c r="D12" t="s">
        <v>8</v>
      </c>
      <c r="E12" s="6">
        <v>40000</v>
      </c>
      <c r="F12" t="s">
        <v>15</v>
      </c>
    </row>
    <row r="13" spans="1:7" hidden="1">
      <c r="A13" t="s">
        <v>14</v>
      </c>
      <c r="B13">
        <v>5306</v>
      </c>
      <c r="C13" t="str">
        <f>VLOOKUP(B13,számlarend!A:B,2,FALSE)</f>
        <v>Hatósági díjak</v>
      </c>
      <c r="D13" t="s">
        <v>8</v>
      </c>
      <c r="E13" s="6">
        <v>40000</v>
      </c>
      <c r="F13" t="s">
        <v>15</v>
      </c>
    </row>
    <row r="14" spans="1:7" hidden="1">
      <c r="A14" t="s">
        <v>14</v>
      </c>
      <c r="B14">
        <v>5306</v>
      </c>
      <c r="C14" t="str">
        <f>VLOOKUP(B14,számlarend!A:B,2,FALSE)</f>
        <v>Hatósági díjak</v>
      </c>
      <c r="D14" t="s">
        <v>6</v>
      </c>
      <c r="E14" s="6">
        <v>68000</v>
      </c>
      <c r="F14" t="s">
        <v>16</v>
      </c>
    </row>
    <row r="15" spans="1:7" hidden="1">
      <c r="A15" t="s">
        <v>14</v>
      </c>
      <c r="B15">
        <v>454</v>
      </c>
      <c r="C15" t="str">
        <f>VLOOKUP(B15,számlarend!A:B,2,FALSE)</f>
        <v>Szállítók</v>
      </c>
      <c r="D15" t="s">
        <v>6</v>
      </c>
      <c r="E15" s="6">
        <v>68000</v>
      </c>
      <c r="F15" t="s">
        <v>16</v>
      </c>
    </row>
    <row r="16" spans="1:7" hidden="1">
      <c r="A16" t="s">
        <v>14</v>
      </c>
      <c r="B16">
        <v>382</v>
      </c>
      <c r="C16" t="str">
        <f>VLOOKUP(B16,számlarend!A:B,2,FALSE)</f>
        <v>Folyószámla</v>
      </c>
      <c r="D16" t="s">
        <v>8</v>
      </c>
      <c r="E16" s="6">
        <v>68000</v>
      </c>
      <c r="F16" t="s">
        <v>16</v>
      </c>
    </row>
    <row r="17" spans="1:6" hidden="1">
      <c r="A17" t="s">
        <v>14</v>
      </c>
      <c r="B17">
        <v>5306</v>
      </c>
      <c r="C17" t="str">
        <f>VLOOKUP(B17,számlarend!A:B,2,FALSE)</f>
        <v>Hatósági díjak</v>
      </c>
      <c r="D17" t="s">
        <v>8</v>
      </c>
      <c r="E17" s="6">
        <v>68000</v>
      </c>
      <c r="F17" t="s">
        <v>16</v>
      </c>
    </row>
    <row r="18" spans="1:6" hidden="1">
      <c r="A18" t="s">
        <v>17</v>
      </c>
      <c r="B18">
        <v>3832</v>
      </c>
      <c r="C18" t="str">
        <f>VLOOKUP(B18,számlarend!A:B,2,FALSE)</f>
        <v>Dániel homály pénztár zsebe</v>
      </c>
      <c r="D18" t="s">
        <v>6</v>
      </c>
      <c r="E18" s="6">
        <v>495000</v>
      </c>
      <c r="F18" t="s">
        <v>18</v>
      </c>
    </row>
    <row r="19" spans="1:6" hidden="1">
      <c r="A19" t="s">
        <v>17</v>
      </c>
      <c r="B19">
        <v>3831</v>
      </c>
      <c r="C19" t="str">
        <f>VLOOKUP(B19,számlarend!A:B,2,FALSE)</f>
        <v>Pál homály pénztár zsebe</v>
      </c>
      <c r="D19" t="s">
        <v>8</v>
      </c>
      <c r="E19" s="6">
        <v>495000</v>
      </c>
      <c r="F19" t="s">
        <v>18</v>
      </c>
    </row>
    <row r="20" spans="1:6" hidden="1">
      <c r="A20" t="s">
        <v>19</v>
      </c>
      <c r="B20">
        <v>623</v>
      </c>
      <c r="C20" t="str">
        <f>VLOOKUP(B20,számlarend!A:B,2,FALSE)</f>
        <v>Épület költségei</v>
      </c>
      <c r="D20" t="s">
        <v>6</v>
      </c>
      <c r="E20" s="6">
        <v>130000</v>
      </c>
      <c r="F20" t="s">
        <v>20</v>
      </c>
    </row>
    <row r="21" spans="1:6" hidden="1">
      <c r="A21" t="s">
        <v>19</v>
      </c>
      <c r="B21">
        <v>3832</v>
      </c>
      <c r="C21" t="str">
        <f>VLOOKUP(B21,számlarend!A:B,2,FALSE)</f>
        <v>Dániel homály pénztár zsebe</v>
      </c>
      <c r="D21" t="s">
        <v>8</v>
      </c>
      <c r="E21" s="6">
        <v>130000</v>
      </c>
      <c r="F21" t="s">
        <v>20</v>
      </c>
    </row>
    <row r="22" spans="1:6" hidden="1">
      <c r="A22" t="s">
        <v>19</v>
      </c>
      <c r="B22">
        <v>3831</v>
      </c>
      <c r="C22" t="str">
        <f>VLOOKUP(B22,számlarend!A:B,2,FALSE)</f>
        <v>Pál homály pénztár zsebe</v>
      </c>
      <c r="D22" t="s">
        <v>6</v>
      </c>
      <c r="E22" s="6">
        <v>214030</v>
      </c>
      <c r="F22" t="s">
        <v>21</v>
      </c>
    </row>
    <row r="23" spans="1:6" hidden="1">
      <c r="A23" t="s">
        <v>19</v>
      </c>
      <c r="B23">
        <v>711</v>
      </c>
      <c r="C23" t="str">
        <f>VLOOKUP(B23,számlarend!A:B,2,FALSE)</f>
        <v>Föld alapú támogatások</v>
      </c>
      <c r="D23" t="s">
        <v>8</v>
      </c>
      <c r="E23" s="6">
        <v>214030</v>
      </c>
      <c r="F23" t="s">
        <v>21</v>
      </c>
    </row>
    <row r="24" spans="1:6" hidden="1">
      <c r="A24" t="s">
        <v>19</v>
      </c>
      <c r="B24">
        <v>3831</v>
      </c>
      <c r="C24" t="str">
        <f>VLOOKUP(B24,számlarend!A:B,2,FALSE)</f>
        <v>Pál homály pénztár zsebe</v>
      </c>
      <c r="D24" t="s">
        <v>6</v>
      </c>
      <c r="E24" s="6">
        <v>340428</v>
      </c>
      <c r="F24" t="s">
        <v>22</v>
      </c>
    </row>
    <row r="25" spans="1:6" hidden="1">
      <c r="A25" t="s">
        <v>19</v>
      </c>
      <c r="B25">
        <v>711</v>
      </c>
      <c r="C25" t="str">
        <f>VLOOKUP(B25,számlarend!A:B,2,FALSE)</f>
        <v>Föld alapú támogatások</v>
      </c>
      <c r="D25" t="s">
        <v>8</v>
      </c>
      <c r="E25" s="6">
        <v>340428</v>
      </c>
      <c r="F25" t="s">
        <v>22</v>
      </c>
    </row>
    <row r="26" spans="1:6" hidden="1">
      <c r="A26" t="s">
        <v>23</v>
      </c>
      <c r="B26">
        <v>623</v>
      </c>
      <c r="C26" t="str">
        <f>VLOOKUP(B26,számlarend!A:B,2,FALSE)</f>
        <v>Épület költségei</v>
      </c>
      <c r="D26" t="s">
        <v>6</v>
      </c>
      <c r="E26" s="6">
        <v>195000</v>
      </c>
      <c r="F26" t="s">
        <v>24</v>
      </c>
    </row>
    <row r="27" spans="1:6" hidden="1">
      <c r="A27" t="s">
        <v>23</v>
      </c>
      <c r="B27">
        <v>3832</v>
      </c>
      <c r="C27" t="str">
        <f>VLOOKUP(B27,számlarend!A:B,2,FALSE)</f>
        <v>Dániel homály pénztár zsebe</v>
      </c>
      <c r="D27" t="s">
        <v>8</v>
      </c>
      <c r="E27" s="6">
        <v>195000</v>
      </c>
      <c r="F27" t="s">
        <v>24</v>
      </c>
    </row>
    <row r="28" spans="1:6" hidden="1">
      <c r="A28" t="s">
        <v>23</v>
      </c>
      <c r="B28">
        <v>623</v>
      </c>
      <c r="C28" t="str">
        <f>VLOOKUP(B28,számlarend!A:B,2,FALSE)</f>
        <v>Épület költségei</v>
      </c>
      <c r="D28" t="s">
        <v>6</v>
      </c>
      <c r="E28" s="6">
        <v>20000</v>
      </c>
      <c r="F28" t="s">
        <v>25</v>
      </c>
    </row>
    <row r="29" spans="1:6" hidden="1">
      <c r="A29" t="s">
        <v>23</v>
      </c>
      <c r="B29">
        <v>3832</v>
      </c>
      <c r="C29" t="str">
        <f>VLOOKUP(B29,számlarend!A:B,2,FALSE)</f>
        <v>Dániel homály pénztár zsebe</v>
      </c>
      <c r="D29" t="s">
        <v>8</v>
      </c>
      <c r="E29" s="6">
        <v>20000</v>
      </c>
      <c r="F29" t="s">
        <v>25</v>
      </c>
    </row>
    <row r="30" spans="1:6" hidden="1">
      <c r="A30" t="s">
        <v>23</v>
      </c>
      <c r="B30">
        <v>5306</v>
      </c>
      <c r="C30" t="str">
        <f>VLOOKUP(B30,számlarend!A:B,2,FALSE)</f>
        <v>Hatósági díjak</v>
      </c>
      <c r="D30" t="s">
        <v>6</v>
      </c>
      <c r="E30" s="6">
        <v>68000</v>
      </c>
      <c r="F30" t="s">
        <v>26</v>
      </c>
    </row>
    <row r="31" spans="1:6" hidden="1">
      <c r="A31" t="s">
        <v>23</v>
      </c>
      <c r="B31">
        <v>454</v>
      </c>
      <c r="C31" t="str">
        <f>VLOOKUP(B31,számlarend!A:B,2,FALSE)</f>
        <v>Szállítók</v>
      </c>
      <c r="D31" t="s">
        <v>8</v>
      </c>
      <c r="E31" s="6">
        <v>68000</v>
      </c>
      <c r="F31" t="s">
        <v>26</v>
      </c>
    </row>
    <row r="32" spans="1:6" hidden="1">
      <c r="A32" t="s">
        <v>27</v>
      </c>
      <c r="B32">
        <v>5302</v>
      </c>
      <c r="C32" t="str">
        <f>VLOOKUP(B32,számlarend!A:B,2,FALSE)</f>
        <v>Bank költségek</v>
      </c>
      <c r="D32" t="s">
        <v>6</v>
      </c>
      <c r="E32" s="6">
        <v>792</v>
      </c>
      <c r="F32" t="s">
        <v>28</v>
      </c>
    </row>
    <row r="33" spans="1:6" hidden="1">
      <c r="A33" t="s">
        <v>27</v>
      </c>
      <c r="B33">
        <v>382</v>
      </c>
      <c r="C33" t="str">
        <f>VLOOKUP(B33,számlarend!A:B,2,FALSE)</f>
        <v>Folyószámla</v>
      </c>
      <c r="D33" t="s">
        <v>8</v>
      </c>
      <c r="E33" s="6">
        <v>792</v>
      </c>
      <c r="F33" t="s">
        <v>28</v>
      </c>
    </row>
    <row r="34" spans="1:6" hidden="1">
      <c r="A34" t="s">
        <v>27</v>
      </c>
      <c r="B34">
        <v>382</v>
      </c>
      <c r="C34" t="str">
        <f>VLOOKUP(B34,számlarend!A:B,2,FALSE)</f>
        <v>Folyószámla</v>
      </c>
      <c r="D34" t="s">
        <v>6</v>
      </c>
      <c r="E34" s="6">
        <v>155</v>
      </c>
      <c r="F34" t="s">
        <v>29</v>
      </c>
    </row>
    <row r="35" spans="1:6" hidden="1">
      <c r="A35" t="s">
        <v>27</v>
      </c>
      <c r="B35">
        <v>973</v>
      </c>
      <c r="C35" t="str">
        <f>VLOOKUP(B35,számlarend!A:B,2,FALSE)</f>
        <v>Hitelintézettől kapott kamatok</v>
      </c>
      <c r="D35" t="s">
        <v>8</v>
      </c>
      <c r="E35" s="6">
        <v>155</v>
      </c>
      <c r="F35" t="s">
        <v>29</v>
      </c>
    </row>
    <row r="36" spans="1:6" hidden="1">
      <c r="A36" t="s">
        <v>30</v>
      </c>
      <c r="B36">
        <v>5113</v>
      </c>
      <c r="C36" t="str">
        <f>VLOOKUP(B36,számlarend!A:B,2,FALSE)</f>
        <v>Üzemanyag</v>
      </c>
      <c r="D36" t="s">
        <v>6</v>
      </c>
      <c r="E36" s="6">
        <v>31801</v>
      </c>
      <c r="F36" t="s">
        <v>31</v>
      </c>
    </row>
    <row r="37" spans="1:6" hidden="1">
      <c r="A37" t="s">
        <v>30</v>
      </c>
      <c r="B37">
        <v>382</v>
      </c>
      <c r="C37" t="str">
        <f>VLOOKUP(B37,számlarend!A:B,2,FALSE)</f>
        <v>Folyószámla</v>
      </c>
      <c r="D37" t="s">
        <v>8</v>
      </c>
      <c r="E37" s="6">
        <v>31801</v>
      </c>
      <c r="F37" t="s">
        <v>31</v>
      </c>
    </row>
    <row r="38" spans="1:6" hidden="1">
      <c r="A38" t="s">
        <v>32</v>
      </c>
      <c r="B38">
        <v>3832</v>
      </c>
      <c r="C38" t="str">
        <f>VLOOKUP(B38,számlarend!A:B,2,FALSE)</f>
        <v>Dániel homály pénztár zsebe</v>
      </c>
      <c r="D38" t="s">
        <v>6</v>
      </c>
      <c r="E38" s="6">
        <v>100000</v>
      </c>
      <c r="F38" t="s">
        <v>33</v>
      </c>
    </row>
    <row r="39" spans="1:6" hidden="1">
      <c r="A39" t="s">
        <v>32</v>
      </c>
      <c r="B39">
        <v>5113</v>
      </c>
      <c r="C39" t="str">
        <f>VLOOKUP(B39,számlarend!A:B,2,FALSE)</f>
        <v>Üzemanyag</v>
      </c>
      <c r="D39" t="s">
        <v>8</v>
      </c>
      <c r="E39" s="6">
        <v>100000</v>
      </c>
      <c r="F39" t="s">
        <v>33</v>
      </c>
    </row>
    <row r="40" spans="1:6" hidden="1">
      <c r="A40" t="s">
        <v>34</v>
      </c>
      <c r="B40">
        <v>5302</v>
      </c>
      <c r="C40" t="str">
        <f>VLOOKUP(B40,számlarend!A:B,2,FALSE)</f>
        <v>Bank költségek</v>
      </c>
      <c r="D40" t="s">
        <v>6</v>
      </c>
      <c r="E40" s="6">
        <v>792</v>
      </c>
      <c r="F40" t="s">
        <v>35</v>
      </c>
    </row>
    <row r="41" spans="1:6" hidden="1">
      <c r="A41" t="s">
        <v>34</v>
      </c>
      <c r="B41">
        <v>382</v>
      </c>
      <c r="C41" t="str">
        <f>VLOOKUP(B41,számlarend!A:B,2,FALSE)</f>
        <v>Folyószámla</v>
      </c>
      <c r="D41" t="s">
        <v>8</v>
      </c>
      <c r="E41" s="6">
        <v>792</v>
      </c>
      <c r="F41" t="s">
        <v>35</v>
      </c>
    </row>
    <row r="42" spans="1:6" hidden="1">
      <c r="A42" t="s">
        <v>36</v>
      </c>
      <c r="B42">
        <v>5113</v>
      </c>
      <c r="C42" t="str">
        <f>VLOOKUP(B42,számlarend!A:B,2,FALSE)</f>
        <v>Üzemanyag</v>
      </c>
      <c r="D42" t="s">
        <v>6</v>
      </c>
      <c r="E42" s="6">
        <v>24878</v>
      </c>
      <c r="F42" t="s">
        <v>37</v>
      </c>
    </row>
    <row r="43" spans="1:6" hidden="1">
      <c r="A43" t="s">
        <v>36</v>
      </c>
      <c r="B43">
        <v>382</v>
      </c>
      <c r="C43" t="str">
        <f>VLOOKUP(B43,számlarend!A:B,2,FALSE)</f>
        <v>Folyószámla</v>
      </c>
      <c r="D43" t="s">
        <v>8</v>
      </c>
      <c r="E43" s="6">
        <v>24878</v>
      </c>
      <c r="F43" t="s">
        <v>37</v>
      </c>
    </row>
    <row r="44" spans="1:6" hidden="1">
      <c r="A44" t="s">
        <v>38</v>
      </c>
      <c r="B44">
        <v>621</v>
      </c>
      <c r="C44" t="str">
        <f>VLOOKUP(B44,számlarend!A:B,2,FALSE)</f>
        <v>Földterület költségei</v>
      </c>
      <c r="D44" t="s">
        <v>6</v>
      </c>
      <c r="E44" s="6">
        <v>100000</v>
      </c>
      <c r="F44" t="s">
        <v>39</v>
      </c>
    </row>
    <row r="45" spans="1:6" hidden="1">
      <c r="A45" t="s">
        <v>38</v>
      </c>
      <c r="B45">
        <v>3832</v>
      </c>
      <c r="C45" t="str">
        <f>VLOOKUP(B45,számlarend!A:B,2,FALSE)</f>
        <v>Dániel homály pénztár zsebe</v>
      </c>
      <c r="D45" t="s">
        <v>8</v>
      </c>
      <c r="E45" s="6">
        <v>100000</v>
      </c>
      <c r="F45" t="s">
        <v>39</v>
      </c>
    </row>
    <row r="46" spans="1:6" hidden="1">
      <c r="A46" t="s">
        <v>40</v>
      </c>
      <c r="B46">
        <v>5302</v>
      </c>
      <c r="C46" t="str">
        <f>VLOOKUP(B46,számlarend!A:B,2,FALSE)</f>
        <v>Bank költségek</v>
      </c>
      <c r="D46" t="s">
        <v>6</v>
      </c>
      <c r="E46" s="6">
        <v>12703</v>
      </c>
      <c r="F46" t="s">
        <v>41</v>
      </c>
    </row>
    <row r="47" spans="1:6" hidden="1">
      <c r="A47" t="s">
        <v>40</v>
      </c>
      <c r="B47">
        <v>382</v>
      </c>
      <c r="C47" t="str">
        <f>VLOOKUP(B47,számlarend!A:B,2,FALSE)</f>
        <v>Folyószámla</v>
      </c>
      <c r="D47" t="s">
        <v>8</v>
      </c>
      <c r="E47" s="6">
        <v>12703</v>
      </c>
      <c r="F47" t="s">
        <v>41</v>
      </c>
    </row>
    <row r="48" spans="1:6" hidden="1">
      <c r="A48" t="s">
        <v>40</v>
      </c>
      <c r="B48">
        <v>5302</v>
      </c>
      <c r="C48" t="str">
        <f>VLOOKUP(B48,számlarend!A:B,2,FALSE)</f>
        <v>Bank költségek</v>
      </c>
      <c r="D48" t="s">
        <v>6</v>
      </c>
      <c r="E48" s="6">
        <v>792</v>
      </c>
      <c r="F48" t="s">
        <v>42</v>
      </c>
    </row>
    <row r="49" spans="1:6" hidden="1">
      <c r="A49" t="s">
        <v>40</v>
      </c>
      <c r="B49">
        <v>382</v>
      </c>
      <c r="C49" t="str">
        <f>VLOOKUP(B49,számlarend!A:B,2,FALSE)</f>
        <v>Folyószámla</v>
      </c>
      <c r="D49" t="s">
        <v>8</v>
      </c>
      <c r="E49" s="6">
        <v>792</v>
      </c>
      <c r="F49" t="s">
        <v>42</v>
      </c>
    </row>
    <row r="50" spans="1:6" hidden="1">
      <c r="A50" t="s">
        <v>43</v>
      </c>
      <c r="B50">
        <v>5113</v>
      </c>
      <c r="C50" t="str">
        <f>VLOOKUP(B50,számlarend!A:B,2,FALSE)</f>
        <v>Üzemanyag</v>
      </c>
      <c r="D50" t="s">
        <v>6</v>
      </c>
      <c r="E50" s="6">
        <v>30225</v>
      </c>
      <c r="F50" t="s">
        <v>44</v>
      </c>
    </row>
    <row r="51" spans="1:6" hidden="1">
      <c r="A51" t="s">
        <v>43</v>
      </c>
      <c r="B51">
        <v>382</v>
      </c>
      <c r="C51" t="str">
        <f>VLOOKUP(B51,számlarend!A:B,2,FALSE)</f>
        <v>Folyószámla</v>
      </c>
      <c r="D51" t="s">
        <v>8</v>
      </c>
      <c r="E51" s="6">
        <v>30225</v>
      </c>
      <c r="F51" t="s">
        <v>44</v>
      </c>
    </row>
    <row r="52" spans="1:6" hidden="1">
      <c r="A52" t="s">
        <v>45</v>
      </c>
      <c r="B52">
        <v>5304</v>
      </c>
      <c r="C52" t="str">
        <f>VLOOKUP(B52,számlarend!A:B,2,FALSE)</f>
        <v>Jogi költségek</v>
      </c>
      <c r="D52" t="s">
        <v>6</v>
      </c>
      <c r="E52" s="6">
        <v>101600</v>
      </c>
      <c r="F52" t="s">
        <v>46</v>
      </c>
    </row>
    <row r="53" spans="1:6" hidden="1">
      <c r="A53" t="s">
        <v>45</v>
      </c>
      <c r="B53">
        <v>382</v>
      </c>
      <c r="C53" t="str">
        <f>VLOOKUP(B53,számlarend!A:B,2,FALSE)</f>
        <v>Folyószámla</v>
      </c>
      <c r="D53" t="s">
        <v>8</v>
      </c>
      <c r="E53" s="6">
        <v>101600</v>
      </c>
      <c r="F53" t="s">
        <v>46</v>
      </c>
    </row>
    <row r="54" spans="1:6" hidden="1">
      <c r="A54" t="s">
        <v>45</v>
      </c>
      <c r="B54">
        <v>5113</v>
      </c>
      <c r="C54" t="str">
        <f>VLOOKUP(B54,számlarend!A:B,2,FALSE)</f>
        <v>Üzemanyag</v>
      </c>
      <c r="D54" t="s">
        <v>6</v>
      </c>
      <c r="E54" s="6">
        <v>31744</v>
      </c>
      <c r="F54" t="s">
        <v>47</v>
      </c>
    </row>
    <row r="55" spans="1:6" hidden="1">
      <c r="A55" t="s">
        <v>45</v>
      </c>
      <c r="B55">
        <v>382</v>
      </c>
      <c r="C55" t="str">
        <f>VLOOKUP(B55,számlarend!A:B,2,FALSE)</f>
        <v>Folyószámla</v>
      </c>
      <c r="D55" t="s">
        <v>8</v>
      </c>
      <c r="E55" s="6">
        <v>31744</v>
      </c>
      <c r="F55" t="s">
        <v>47</v>
      </c>
    </row>
    <row r="56" spans="1:6" hidden="1">
      <c r="A56" t="s">
        <v>48</v>
      </c>
      <c r="B56">
        <v>5306</v>
      </c>
      <c r="C56" t="str">
        <f>VLOOKUP(B56,számlarend!A:B,2,FALSE)</f>
        <v>Hatósági díjak</v>
      </c>
      <c r="D56" t="s">
        <v>6</v>
      </c>
      <c r="E56" s="6">
        <v>10600</v>
      </c>
      <c r="F56" t="s">
        <v>49</v>
      </c>
    </row>
    <row r="57" spans="1:6" hidden="1">
      <c r="A57" t="s">
        <v>48</v>
      </c>
      <c r="B57">
        <v>382</v>
      </c>
      <c r="C57" t="str">
        <f>VLOOKUP(B57,számlarend!A:B,2,FALSE)</f>
        <v>Folyószámla</v>
      </c>
      <c r="D57" t="s">
        <v>8</v>
      </c>
      <c r="E57" s="6">
        <v>10600</v>
      </c>
      <c r="F57" t="s">
        <v>49</v>
      </c>
    </row>
    <row r="58" spans="1:6" hidden="1">
      <c r="A58" t="s">
        <v>48</v>
      </c>
      <c r="B58">
        <v>5306</v>
      </c>
      <c r="C58" t="str">
        <f>VLOOKUP(B58,számlarend!A:B,2,FALSE)</f>
        <v>Hatósági díjak</v>
      </c>
      <c r="D58" t="s">
        <v>6</v>
      </c>
      <c r="E58" s="6">
        <v>10600</v>
      </c>
      <c r="F58" t="s">
        <v>50</v>
      </c>
    </row>
    <row r="59" spans="1:6" hidden="1">
      <c r="A59" t="s">
        <v>48</v>
      </c>
      <c r="B59">
        <v>382</v>
      </c>
      <c r="C59" t="str">
        <f>VLOOKUP(B59,számlarend!A:B,2,FALSE)</f>
        <v>Folyószámla</v>
      </c>
      <c r="D59" t="s">
        <v>8</v>
      </c>
      <c r="E59" s="6">
        <v>10600</v>
      </c>
      <c r="F59" t="s">
        <v>50</v>
      </c>
    </row>
    <row r="60" spans="1:6" hidden="1">
      <c r="A60" t="s">
        <v>48</v>
      </c>
      <c r="B60">
        <v>122</v>
      </c>
      <c r="C60" t="str">
        <f>VLOOKUP(B60,számlarend!A:B,2,FALSE)</f>
        <v>Telek</v>
      </c>
      <c r="D60" t="s">
        <v>6</v>
      </c>
      <c r="E60" s="6">
        <v>1700000</v>
      </c>
      <c r="F60" t="s">
        <v>51</v>
      </c>
    </row>
    <row r="61" spans="1:6" hidden="1">
      <c r="A61" t="s">
        <v>48</v>
      </c>
      <c r="B61">
        <v>382</v>
      </c>
      <c r="C61" t="str">
        <f>VLOOKUP(B61,számlarend!A:B,2,FALSE)</f>
        <v>Folyószámla</v>
      </c>
      <c r="D61" t="s">
        <v>8</v>
      </c>
      <c r="E61" s="6">
        <v>1700000</v>
      </c>
      <c r="F61" t="s">
        <v>51</v>
      </c>
    </row>
    <row r="62" spans="1:6" hidden="1">
      <c r="A62" t="s">
        <v>48</v>
      </c>
      <c r="B62">
        <v>122</v>
      </c>
      <c r="C62" t="str">
        <f>VLOOKUP(B62,számlarend!A:B,2,FALSE)</f>
        <v>Telek</v>
      </c>
      <c r="D62" t="s">
        <v>6</v>
      </c>
      <c r="E62" s="6">
        <v>1000000</v>
      </c>
      <c r="F62" t="s">
        <v>52</v>
      </c>
    </row>
    <row r="63" spans="1:6" hidden="1">
      <c r="A63" t="s">
        <v>48</v>
      </c>
      <c r="B63">
        <v>382</v>
      </c>
      <c r="C63" t="str">
        <f>VLOOKUP(B63,számlarend!A:B,2,FALSE)</f>
        <v>Folyószámla</v>
      </c>
      <c r="D63" t="s">
        <v>8</v>
      </c>
      <c r="E63" s="6">
        <v>1000000</v>
      </c>
      <c r="F63" t="s">
        <v>52</v>
      </c>
    </row>
    <row r="64" spans="1:6" hidden="1">
      <c r="A64" t="s">
        <v>53</v>
      </c>
      <c r="B64">
        <v>5302</v>
      </c>
      <c r="C64" t="str">
        <f>VLOOKUP(B64,számlarend!A:B,2,FALSE)</f>
        <v>Bank költségek</v>
      </c>
      <c r="D64" t="s">
        <v>6</v>
      </c>
      <c r="E64" s="6">
        <v>792</v>
      </c>
      <c r="F64" t="s">
        <v>54</v>
      </c>
    </row>
    <row r="65" spans="1:6" hidden="1">
      <c r="A65" t="s">
        <v>53</v>
      </c>
      <c r="B65">
        <v>382</v>
      </c>
      <c r="C65" t="str">
        <f>VLOOKUP(B65,számlarend!A:B,2,FALSE)</f>
        <v>Folyószámla</v>
      </c>
      <c r="D65" t="s">
        <v>8</v>
      </c>
      <c r="E65" s="6">
        <v>792</v>
      </c>
      <c r="F65" t="s">
        <v>54</v>
      </c>
    </row>
    <row r="66" spans="1:6" hidden="1">
      <c r="A66" t="s">
        <v>53</v>
      </c>
      <c r="B66">
        <v>5302</v>
      </c>
      <c r="C66" t="str">
        <f>VLOOKUP(B66,számlarend!A:B,2,FALSE)</f>
        <v>Bank költségek</v>
      </c>
      <c r="D66" t="s">
        <v>6</v>
      </c>
      <c r="E66" s="6">
        <v>720</v>
      </c>
      <c r="F66" t="s">
        <v>55</v>
      </c>
    </row>
    <row r="67" spans="1:6" hidden="1">
      <c r="A67" t="s">
        <v>53</v>
      </c>
      <c r="B67">
        <v>382</v>
      </c>
      <c r="C67" t="str">
        <f>VLOOKUP(B67,számlarend!A:B,2,FALSE)</f>
        <v>Folyószámla</v>
      </c>
      <c r="D67" t="s">
        <v>8</v>
      </c>
      <c r="E67" s="6">
        <v>720</v>
      </c>
      <c r="F67" t="s">
        <v>55</v>
      </c>
    </row>
    <row r="68" spans="1:6" hidden="1">
      <c r="A68" t="s">
        <v>53</v>
      </c>
      <c r="B68">
        <v>382</v>
      </c>
      <c r="C68" t="str">
        <f>VLOOKUP(B68,számlarend!A:B,2,FALSE)</f>
        <v>Folyószámla</v>
      </c>
      <c r="D68" t="s">
        <v>6</v>
      </c>
      <c r="E68" s="6">
        <v>219</v>
      </c>
      <c r="F68" t="s">
        <v>56</v>
      </c>
    </row>
    <row r="69" spans="1:6" hidden="1">
      <c r="A69" t="s">
        <v>53</v>
      </c>
      <c r="B69">
        <v>973</v>
      </c>
      <c r="C69" t="str">
        <f>VLOOKUP(B69,számlarend!A:B,2,FALSE)</f>
        <v>Hitelintézettől kapott kamatok</v>
      </c>
      <c r="D69" t="s">
        <v>8</v>
      </c>
      <c r="E69" s="6">
        <v>219</v>
      </c>
      <c r="F69" t="s">
        <v>56</v>
      </c>
    </row>
    <row r="70" spans="1:6" hidden="1">
      <c r="A70" t="s">
        <v>57</v>
      </c>
      <c r="B70">
        <v>5113</v>
      </c>
      <c r="C70" t="str">
        <f>VLOOKUP(B70,számlarend!A:B,2,FALSE)</f>
        <v>Üzemanyag</v>
      </c>
      <c r="D70" t="s">
        <v>6</v>
      </c>
      <c r="E70" s="6">
        <v>32001</v>
      </c>
      <c r="F70" t="s">
        <v>58</v>
      </c>
    </row>
    <row r="71" spans="1:6" hidden="1">
      <c r="A71" t="s">
        <v>57</v>
      </c>
      <c r="B71">
        <v>382</v>
      </c>
      <c r="C71" t="str">
        <f>VLOOKUP(B71,számlarend!A:B,2,FALSE)</f>
        <v>Folyószámla</v>
      </c>
      <c r="D71" t="s">
        <v>8</v>
      </c>
      <c r="E71" s="6">
        <v>32001</v>
      </c>
      <c r="F71" t="s">
        <v>58</v>
      </c>
    </row>
    <row r="72" spans="1:6" hidden="1">
      <c r="A72" t="s">
        <v>59</v>
      </c>
      <c r="B72">
        <v>5113</v>
      </c>
      <c r="C72" t="str">
        <f>VLOOKUP(B72,számlarend!A:B,2,FALSE)</f>
        <v>Üzemanyag</v>
      </c>
      <c r="D72" t="s">
        <v>6</v>
      </c>
      <c r="E72" s="6">
        <v>33005</v>
      </c>
      <c r="F72" t="s">
        <v>60</v>
      </c>
    </row>
    <row r="73" spans="1:6" hidden="1">
      <c r="A73" t="s">
        <v>59</v>
      </c>
      <c r="B73">
        <v>382</v>
      </c>
      <c r="C73" t="str">
        <f>VLOOKUP(B73,számlarend!A:B,2,FALSE)</f>
        <v>Folyószámla</v>
      </c>
      <c r="D73" t="s">
        <v>8</v>
      </c>
      <c r="E73" s="6">
        <v>33005</v>
      </c>
      <c r="F73" t="s">
        <v>60</v>
      </c>
    </row>
    <row r="74" spans="1:6" hidden="1">
      <c r="A74" t="s">
        <v>61</v>
      </c>
      <c r="B74">
        <v>5304</v>
      </c>
      <c r="C74" t="str">
        <f>VLOOKUP(B74,számlarend!A:B,2,FALSE)</f>
        <v>Jogi költségek</v>
      </c>
      <c r="D74" t="s">
        <v>6</v>
      </c>
      <c r="E74" s="6">
        <v>160000</v>
      </c>
      <c r="F74" t="s">
        <v>62</v>
      </c>
    </row>
    <row r="75" spans="1:6" hidden="1">
      <c r="A75" t="s">
        <v>61</v>
      </c>
      <c r="B75">
        <v>454</v>
      </c>
      <c r="C75" t="str">
        <f>VLOOKUP(B75,számlarend!A:B,2,FALSE)</f>
        <v>Szállítók</v>
      </c>
      <c r="D75" t="s">
        <v>6</v>
      </c>
      <c r="E75" s="6">
        <v>160000</v>
      </c>
      <c r="F75" t="s">
        <v>62</v>
      </c>
    </row>
    <row r="76" spans="1:6" hidden="1">
      <c r="A76" t="s">
        <v>61</v>
      </c>
      <c r="B76">
        <v>382</v>
      </c>
      <c r="C76" t="str">
        <f>VLOOKUP(B76,számlarend!A:B,2,FALSE)</f>
        <v>Folyószámla</v>
      </c>
      <c r="D76" t="s">
        <v>8</v>
      </c>
      <c r="E76" s="6">
        <v>160000</v>
      </c>
      <c r="F76" t="s">
        <v>62</v>
      </c>
    </row>
    <row r="77" spans="1:6" hidden="1">
      <c r="A77" t="s">
        <v>61</v>
      </c>
      <c r="B77">
        <v>5304</v>
      </c>
      <c r="C77" t="str">
        <f>VLOOKUP(B77,számlarend!A:B,2,FALSE)</f>
        <v>Jogi költségek</v>
      </c>
      <c r="D77" t="s">
        <v>8</v>
      </c>
      <c r="E77" s="6">
        <v>160000</v>
      </c>
      <c r="F77" t="s">
        <v>62</v>
      </c>
    </row>
    <row r="78" spans="1:6" hidden="1">
      <c r="A78" t="s">
        <v>63</v>
      </c>
      <c r="B78">
        <v>5302</v>
      </c>
      <c r="C78" t="str">
        <f>VLOOKUP(B78,számlarend!A:B,2,FALSE)</f>
        <v>Bank költségek</v>
      </c>
      <c r="D78" t="s">
        <v>6</v>
      </c>
      <c r="E78" s="6">
        <v>792</v>
      </c>
      <c r="F78" t="s">
        <v>64</v>
      </c>
    </row>
    <row r="79" spans="1:6" hidden="1">
      <c r="A79" t="s">
        <v>63</v>
      </c>
      <c r="B79">
        <v>382</v>
      </c>
      <c r="C79" t="str">
        <f>VLOOKUP(B79,számlarend!A:B,2,FALSE)</f>
        <v>Folyószámla</v>
      </c>
      <c r="D79" t="s">
        <v>8</v>
      </c>
      <c r="E79" s="6">
        <v>792</v>
      </c>
      <c r="F79" t="s">
        <v>64</v>
      </c>
    </row>
    <row r="80" spans="1:6" hidden="1">
      <c r="A80" t="s">
        <v>65</v>
      </c>
      <c r="B80">
        <v>5304</v>
      </c>
      <c r="C80" t="str">
        <f>VLOOKUP(B80,számlarend!A:B,2,FALSE)</f>
        <v>Jogi költségek</v>
      </c>
      <c r="D80" t="s">
        <v>6</v>
      </c>
      <c r="E80" s="6">
        <v>160000</v>
      </c>
      <c r="F80" t="s">
        <v>66</v>
      </c>
    </row>
    <row r="81" spans="1:6" hidden="1">
      <c r="A81" t="s">
        <v>65</v>
      </c>
      <c r="B81">
        <v>454</v>
      </c>
      <c r="C81" t="str">
        <f>VLOOKUP(B81,számlarend!A:B,2,FALSE)</f>
        <v>Szállítók</v>
      </c>
      <c r="D81" t="s">
        <v>8</v>
      </c>
      <c r="E81" s="6">
        <v>160000</v>
      </c>
      <c r="F81" t="s">
        <v>66</v>
      </c>
    </row>
    <row r="82" spans="1:6" hidden="1">
      <c r="A82" t="s">
        <v>67</v>
      </c>
      <c r="B82">
        <v>5113</v>
      </c>
      <c r="C82" t="str">
        <f>VLOOKUP(B82,számlarend!A:B,2,FALSE)</f>
        <v>Üzemanyag</v>
      </c>
      <c r="D82" t="s">
        <v>6</v>
      </c>
      <c r="E82" s="6">
        <v>31504</v>
      </c>
      <c r="F82" t="s">
        <v>68</v>
      </c>
    </row>
    <row r="83" spans="1:6" hidden="1">
      <c r="A83" t="s">
        <v>67</v>
      </c>
      <c r="B83">
        <v>382</v>
      </c>
      <c r="C83" t="str">
        <f>VLOOKUP(B83,számlarend!A:B,2,FALSE)</f>
        <v>Folyószámla</v>
      </c>
      <c r="D83" t="s">
        <v>8</v>
      </c>
      <c r="E83" s="6">
        <v>31504</v>
      </c>
      <c r="F83" t="s">
        <v>68</v>
      </c>
    </row>
    <row r="84" spans="1:6" hidden="1">
      <c r="A84" t="s">
        <v>69</v>
      </c>
      <c r="B84">
        <v>5113</v>
      </c>
      <c r="C84" t="str">
        <f>VLOOKUP(B84,számlarend!A:B,2,FALSE)</f>
        <v>Üzemanyag</v>
      </c>
      <c r="D84" t="s">
        <v>6</v>
      </c>
      <c r="E84" s="6">
        <v>31693</v>
      </c>
      <c r="F84" t="s">
        <v>70</v>
      </c>
    </row>
    <row r="85" spans="1:6" hidden="1">
      <c r="A85" t="s">
        <v>69</v>
      </c>
      <c r="B85">
        <v>382</v>
      </c>
      <c r="C85" t="str">
        <f>VLOOKUP(B85,számlarend!A:B,2,FALSE)</f>
        <v>Folyószámla</v>
      </c>
      <c r="D85" t="s">
        <v>8</v>
      </c>
      <c r="E85" s="6">
        <v>31693</v>
      </c>
      <c r="F85" t="s">
        <v>70</v>
      </c>
    </row>
    <row r="86" spans="1:6" hidden="1">
      <c r="A86" t="s">
        <v>71</v>
      </c>
      <c r="B86">
        <v>621</v>
      </c>
      <c r="C86" t="str">
        <f>VLOOKUP(B86,számlarend!A:B,2,FALSE)</f>
        <v>Földterület költségei</v>
      </c>
      <c r="D86" t="s">
        <v>6</v>
      </c>
      <c r="E86" s="6">
        <v>150000</v>
      </c>
      <c r="F86" t="s">
        <v>72</v>
      </c>
    </row>
    <row r="87" spans="1:6" hidden="1">
      <c r="A87" t="s">
        <v>71</v>
      </c>
      <c r="B87">
        <v>3832</v>
      </c>
      <c r="C87" t="str">
        <f>VLOOKUP(B87,számlarend!A:B,2,FALSE)</f>
        <v>Dániel homály pénztár zsebe</v>
      </c>
      <c r="D87" t="s">
        <v>8</v>
      </c>
      <c r="E87" s="6">
        <v>150000</v>
      </c>
      <c r="F87" t="s">
        <v>72</v>
      </c>
    </row>
    <row r="88" spans="1:6" hidden="1">
      <c r="A88" t="s">
        <v>73</v>
      </c>
      <c r="B88">
        <v>5302</v>
      </c>
      <c r="C88" t="str">
        <f>VLOOKUP(B88,számlarend!A:B,2,FALSE)</f>
        <v>Bank költségek</v>
      </c>
      <c r="D88" t="s">
        <v>6</v>
      </c>
      <c r="E88" s="6">
        <v>792</v>
      </c>
      <c r="F88" t="s">
        <v>74</v>
      </c>
    </row>
    <row r="89" spans="1:6" hidden="1">
      <c r="A89" t="s">
        <v>73</v>
      </c>
      <c r="B89">
        <v>382</v>
      </c>
      <c r="C89" t="str">
        <f>VLOOKUP(B89,számlarend!A:B,2,FALSE)</f>
        <v>Folyószámla</v>
      </c>
      <c r="D89" t="s">
        <v>8</v>
      </c>
      <c r="E89" s="6">
        <v>792</v>
      </c>
      <c r="F89" t="s">
        <v>74</v>
      </c>
    </row>
    <row r="90" spans="1:6" hidden="1">
      <c r="A90" t="s">
        <v>75</v>
      </c>
      <c r="B90">
        <v>5113</v>
      </c>
      <c r="C90" t="str">
        <f>VLOOKUP(B90,számlarend!A:B,2,FALSE)</f>
        <v>Üzemanyag</v>
      </c>
      <c r="D90" t="s">
        <v>6</v>
      </c>
      <c r="E90" s="6">
        <v>30001</v>
      </c>
      <c r="F90" t="s">
        <v>76</v>
      </c>
    </row>
    <row r="91" spans="1:6" hidden="1">
      <c r="A91" t="s">
        <v>75</v>
      </c>
      <c r="B91">
        <v>382</v>
      </c>
      <c r="C91" t="str">
        <f>VLOOKUP(B91,számlarend!A:B,2,FALSE)</f>
        <v>Folyószámla</v>
      </c>
      <c r="D91" t="s">
        <v>8</v>
      </c>
      <c r="E91" s="6">
        <v>30001</v>
      </c>
      <c r="F91" t="s">
        <v>76</v>
      </c>
    </row>
    <row r="92" spans="1:6" hidden="1">
      <c r="A92" t="s">
        <v>77</v>
      </c>
      <c r="B92">
        <v>382</v>
      </c>
      <c r="C92" t="str">
        <f>VLOOKUP(B92,számlarend!A:B,2,FALSE)</f>
        <v>Folyószámla</v>
      </c>
      <c r="D92" t="s">
        <v>6</v>
      </c>
      <c r="E92" s="6">
        <v>163</v>
      </c>
      <c r="F92" t="s">
        <v>78</v>
      </c>
    </row>
    <row r="93" spans="1:6" hidden="1">
      <c r="A93" t="s">
        <v>77</v>
      </c>
      <c r="B93">
        <v>973</v>
      </c>
      <c r="C93" t="str">
        <f>VLOOKUP(B93,számlarend!A:B,2,FALSE)</f>
        <v>Hitelintézettől kapott kamatok</v>
      </c>
      <c r="D93" t="s">
        <v>8</v>
      </c>
      <c r="E93" s="6">
        <v>163</v>
      </c>
      <c r="F93" t="s">
        <v>78</v>
      </c>
    </row>
    <row r="94" spans="1:6" hidden="1">
      <c r="A94" t="s">
        <v>77</v>
      </c>
      <c r="B94">
        <v>5302</v>
      </c>
      <c r="C94" t="str">
        <f>VLOOKUP(B94,számlarend!A:B,2,FALSE)</f>
        <v>Bank költségek</v>
      </c>
      <c r="D94" t="s">
        <v>6</v>
      </c>
      <c r="E94" s="6">
        <v>764</v>
      </c>
      <c r="F94" t="s">
        <v>79</v>
      </c>
    </row>
    <row r="95" spans="1:6" hidden="1">
      <c r="A95" t="s">
        <v>77</v>
      </c>
      <c r="B95">
        <v>382</v>
      </c>
      <c r="C95" t="str">
        <f>VLOOKUP(B95,számlarend!A:B,2,FALSE)</f>
        <v>Folyószámla</v>
      </c>
      <c r="D95" t="s">
        <v>8</v>
      </c>
      <c r="E95" s="6">
        <v>764</v>
      </c>
      <c r="F95" t="s">
        <v>79</v>
      </c>
    </row>
    <row r="96" spans="1:6" hidden="1">
      <c r="A96" t="s">
        <v>77</v>
      </c>
      <c r="B96">
        <v>5302</v>
      </c>
      <c r="C96" t="str">
        <f>VLOOKUP(B96,számlarend!A:B,2,FALSE)</f>
        <v>Bank költségek</v>
      </c>
      <c r="D96" t="s">
        <v>6</v>
      </c>
      <c r="E96" s="6">
        <v>360</v>
      </c>
      <c r="F96" t="s">
        <v>80</v>
      </c>
    </row>
    <row r="97" spans="1:6" hidden="1">
      <c r="A97" t="s">
        <v>77</v>
      </c>
      <c r="B97">
        <v>382</v>
      </c>
      <c r="C97" t="str">
        <f>VLOOKUP(B97,számlarend!A:B,2,FALSE)</f>
        <v>Folyószámla</v>
      </c>
      <c r="D97" t="s">
        <v>8</v>
      </c>
      <c r="E97" s="6">
        <v>360</v>
      </c>
      <c r="F97" t="s">
        <v>80</v>
      </c>
    </row>
    <row r="98" spans="1:6" hidden="1">
      <c r="A98" t="s">
        <v>81</v>
      </c>
      <c r="B98">
        <v>129</v>
      </c>
      <c r="C98" t="str">
        <f>VLOOKUP(B98,számlarend!A:B,2,FALSE)</f>
        <v>Ingatlanok homály érték növekedése</v>
      </c>
      <c r="D98" t="s">
        <v>6</v>
      </c>
      <c r="E98" s="6">
        <v>1000000</v>
      </c>
      <c r="F98" t="s">
        <v>82</v>
      </c>
    </row>
    <row r="99" spans="1:6" hidden="1">
      <c r="A99" t="s">
        <v>81</v>
      </c>
      <c r="B99">
        <v>3832</v>
      </c>
      <c r="C99" t="str">
        <f>VLOOKUP(B99,számlarend!A:B,2,FALSE)</f>
        <v>Dániel homály pénztár zsebe</v>
      </c>
      <c r="D99" t="s">
        <v>8</v>
      </c>
      <c r="E99" s="6">
        <v>1000000</v>
      </c>
      <c r="F99" t="s">
        <v>82</v>
      </c>
    </row>
    <row r="100" spans="1:6" hidden="1">
      <c r="A100" t="s">
        <v>83</v>
      </c>
      <c r="B100">
        <v>6306</v>
      </c>
      <c r="C100" t="str">
        <f>VLOOKUP(B100,számlarend!A:B,2,FALSE)</f>
        <v>Hatósági díjak</v>
      </c>
      <c r="D100" t="s">
        <v>6</v>
      </c>
      <c r="E100" s="6">
        <v>21200</v>
      </c>
      <c r="F100" t="s">
        <v>84</v>
      </c>
    </row>
    <row r="101" spans="1:6" hidden="1">
      <c r="A101" t="s">
        <v>83</v>
      </c>
      <c r="B101">
        <v>3831</v>
      </c>
      <c r="C101" t="str">
        <f>VLOOKUP(B101,számlarend!A:B,2,FALSE)</f>
        <v>Pál homály pénztár zsebe</v>
      </c>
      <c r="D101" t="s">
        <v>8</v>
      </c>
      <c r="E101" s="6">
        <v>21200</v>
      </c>
      <c r="F101" t="s">
        <v>84</v>
      </c>
    </row>
    <row r="102" spans="1:6" hidden="1">
      <c r="A102" t="s">
        <v>85</v>
      </c>
      <c r="B102">
        <v>5304</v>
      </c>
      <c r="C102" t="str">
        <f>VLOOKUP(B102,számlarend!A:B,2,FALSE)</f>
        <v>Jogi költségek</v>
      </c>
      <c r="D102" t="s">
        <v>6</v>
      </c>
      <c r="E102" s="6">
        <v>80000</v>
      </c>
      <c r="F102" t="s">
        <v>86</v>
      </c>
    </row>
    <row r="103" spans="1:6" hidden="1">
      <c r="A103" t="s">
        <v>85</v>
      </c>
      <c r="B103">
        <v>454</v>
      </c>
      <c r="C103" t="str">
        <f>VLOOKUP(B103,számlarend!A:B,2,FALSE)</f>
        <v>Szállítók</v>
      </c>
      <c r="D103" t="s">
        <v>6</v>
      </c>
      <c r="E103" s="6">
        <v>80000</v>
      </c>
      <c r="F103" t="s">
        <v>86</v>
      </c>
    </row>
    <row r="104" spans="1:6" hidden="1">
      <c r="A104" t="s">
        <v>85</v>
      </c>
      <c r="B104">
        <v>382</v>
      </c>
      <c r="C104" t="str">
        <f>VLOOKUP(B104,számlarend!A:B,2,FALSE)</f>
        <v>Folyószámla</v>
      </c>
      <c r="D104" t="s">
        <v>8</v>
      </c>
      <c r="E104" s="6">
        <v>80000</v>
      </c>
      <c r="F104" t="s">
        <v>86</v>
      </c>
    </row>
    <row r="105" spans="1:6" hidden="1">
      <c r="A105" t="s">
        <v>85</v>
      </c>
      <c r="B105">
        <v>5304</v>
      </c>
      <c r="C105" t="str">
        <f>VLOOKUP(B105,számlarend!A:B,2,FALSE)</f>
        <v>Jogi költségek</v>
      </c>
      <c r="D105" t="s">
        <v>8</v>
      </c>
      <c r="E105" s="6">
        <v>80000</v>
      </c>
      <c r="F105" t="s">
        <v>86</v>
      </c>
    </row>
    <row r="106" spans="1:6" hidden="1">
      <c r="A106" t="s">
        <v>87</v>
      </c>
      <c r="B106">
        <v>5304</v>
      </c>
      <c r="C106" t="str">
        <f>VLOOKUP(B106,számlarend!A:B,2,FALSE)</f>
        <v>Jogi költségek</v>
      </c>
      <c r="D106" t="s">
        <v>6</v>
      </c>
      <c r="E106" s="6">
        <v>80000</v>
      </c>
      <c r="F106" t="s">
        <v>88</v>
      </c>
    </row>
    <row r="107" spans="1:6" hidden="1">
      <c r="A107" t="s">
        <v>87</v>
      </c>
      <c r="B107">
        <v>454</v>
      </c>
      <c r="C107" t="str">
        <f>VLOOKUP(B107,számlarend!A:B,2,FALSE)</f>
        <v>Szállítók</v>
      </c>
      <c r="D107" t="s">
        <v>8</v>
      </c>
      <c r="E107" s="6">
        <v>80000</v>
      </c>
      <c r="F107" t="s">
        <v>88</v>
      </c>
    </row>
    <row r="108" spans="1:6" hidden="1">
      <c r="A108" t="s">
        <v>89</v>
      </c>
      <c r="B108">
        <v>953</v>
      </c>
      <c r="C108" t="str">
        <f>VLOOKUP(B108,számlarend!A:B,2,FALSE)</f>
        <v>Földvásárlási alap befizetés</v>
      </c>
      <c r="D108" t="s">
        <v>6</v>
      </c>
      <c r="E108" s="6">
        <v>50000000</v>
      </c>
      <c r="F108" t="s">
        <v>90</v>
      </c>
    </row>
    <row r="109" spans="1:6" hidden="1">
      <c r="A109" t="s">
        <v>89</v>
      </c>
      <c r="B109">
        <v>411</v>
      </c>
      <c r="C109" t="str">
        <f>VLOOKUP(B109,számlarend!A:B,2,FALSE)</f>
        <v>Jegyzett tőke</v>
      </c>
      <c r="D109" t="s">
        <v>8</v>
      </c>
      <c r="E109" s="6">
        <v>50000000</v>
      </c>
      <c r="F109" t="s">
        <v>90</v>
      </c>
    </row>
    <row r="110" spans="1:6" hidden="1">
      <c r="A110" t="s">
        <v>89</v>
      </c>
      <c r="B110">
        <v>5302</v>
      </c>
      <c r="C110" t="str">
        <f>VLOOKUP(B110,számlarend!A:B,2,FALSE)</f>
        <v>Bank költségek</v>
      </c>
      <c r="D110" t="s">
        <v>6</v>
      </c>
      <c r="E110" s="6">
        <v>20000</v>
      </c>
      <c r="F110" t="s">
        <v>91</v>
      </c>
    </row>
    <row r="111" spans="1:6" hidden="1">
      <c r="A111" t="s">
        <v>89</v>
      </c>
      <c r="B111">
        <v>382</v>
      </c>
      <c r="C111" t="str">
        <f>VLOOKUP(B111,számlarend!A:B,2,FALSE)</f>
        <v>Folyószámla</v>
      </c>
      <c r="D111" t="s">
        <v>8</v>
      </c>
      <c r="E111" s="6">
        <v>20000</v>
      </c>
      <c r="F111" t="s">
        <v>91</v>
      </c>
    </row>
    <row r="112" spans="1:6" hidden="1">
      <c r="A112" t="s">
        <v>89</v>
      </c>
      <c r="B112">
        <v>5302</v>
      </c>
      <c r="C112" t="str">
        <f>VLOOKUP(B112,számlarend!A:B,2,FALSE)</f>
        <v>Bank költségek</v>
      </c>
      <c r="D112" t="s">
        <v>6</v>
      </c>
      <c r="E112" s="6">
        <v>764</v>
      </c>
      <c r="F112" t="s">
        <v>92</v>
      </c>
    </row>
    <row r="113" spans="1:6" hidden="1">
      <c r="A113" t="s">
        <v>89</v>
      </c>
      <c r="B113">
        <v>382</v>
      </c>
      <c r="C113" t="str">
        <f>VLOOKUP(B113,számlarend!A:B,2,FALSE)</f>
        <v>Folyószámla</v>
      </c>
      <c r="D113" t="s">
        <v>8</v>
      </c>
      <c r="E113" s="6">
        <v>764</v>
      </c>
      <c r="F113" t="s">
        <v>92</v>
      </c>
    </row>
    <row r="114" spans="1:6" hidden="1">
      <c r="A114" t="s">
        <v>93</v>
      </c>
      <c r="B114">
        <v>382</v>
      </c>
      <c r="C114" t="str">
        <f>VLOOKUP(B114,számlarend!A:B,2,FALSE)</f>
        <v>Folyószámla</v>
      </c>
      <c r="D114" t="s">
        <v>6</v>
      </c>
      <c r="E114" s="6">
        <v>12500000</v>
      </c>
      <c r="F114" t="s">
        <v>94</v>
      </c>
    </row>
    <row r="115" spans="1:6" hidden="1">
      <c r="A115" t="s">
        <v>93</v>
      </c>
      <c r="B115">
        <v>953</v>
      </c>
      <c r="C115" t="str">
        <f>VLOOKUP(B115,számlarend!A:B,2,FALSE)</f>
        <v>Földvásárlási alap befizetés</v>
      </c>
      <c r="D115" t="s">
        <v>6</v>
      </c>
      <c r="E115" s="6">
        <v>12500000</v>
      </c>
      <c r="F115" t="s">
        <v>94</v>
      </c>
    </row>
    <row r="116" spans="1:6" hidden="1">
      <c r="A116" t="s">
        <v>93</v>
      </c>
      <c r="B116">
        <v>953</v>
      </c>
      <c r="C116" t="str">
        <f>VLOOKUP(B116,számlarend!A:B,2,FALSE)</f>
        <v>Földvásárlási alap befizetés</v>
      </c>
      <c r="D116" t="s">
        <v>8</v>
      </c>
      <c r="E116" s="6">
        <v>12500000</v>
      </c>
      <c r="F116" t="s">
        <v>94</v>
      </c>
    </row>
    <row r="117" spans="1:6" hidden="1">
      <c r="A117" t="s">
        <v>93</v>
      </c>
      <c r="B117">
        <v>333</v>
      </c>
      <c r="C117" t="str">
        <f>VLOOKUP(B117,számlarend!A:B,2,FALSE)</f>
        <v>Földvásárlási alap előírás</v>
      </c>
      <c r="D117" t="s">
        <v>8</v>
      </c>
      <c r="E117" s="6">
        <v>12500000</v>
      </c>
      <c r="F117" t="s">
        <v>94</v>
      </c>
    </row>
    <row r="118" spans="1:6" hidden="1">
      <c r="A118" t="s">
        <v>93</v>
      </c>
      <c r="B118">
        <v>198</v>
      </c>
      <c r="C118" t="str">
        <f>VLOOKUP(B118,számlarend!A:B,2,FALSE)</f>
        <v>Földvásárlásra adott kölcsönök</v>
      </c>
      <c r="D118" t="s">
        <v>6</v>
      </c>
      <c r="E118" s="6">
        <v>43000000</v>
      </c>
      <c r="F118" t="s">
        <v>95</v>
      </c>
    </row>
    <row r="119" spans="1:6" hidden="1">
      <c r="A119" t="s">
        <v>93</v>
      </c>
      <c r="B119">
        <v>382</v>
      </c>
      <c r="C119" t="str">
        <f>VLOOKUP(B119,számlarend!A:B,2,FALSE)</f>
        <v>Folyószámla</v>
      </c>
      <c r="D119" t="s">
        <v>8</v>
      </c>
      <c r="E119" s="6">
        <v>43000000</v>
      </c>
      <c r="F119" t="s">
        <v>95</v>
      </c>
    </row>
    <row r="120" spans="1:6" hidden="1">
      <c r="A120" t="s">
        <v>96</v>
      </c>
      <c r="B120">
        <v>382</v>
      </c>
      <c r="C120" t="str">
        <f>VLOOKUP(B120,számlarend!A:B,2,FALSE)</f>
        <v>Folyószámla</v>
      </c>
      <c r="D120" t="s">
        <v>6</v>
      </c>
      <c r="E120" s="6">
        <v>12500000</v>
      </c>
      <c r="F120" t="s">
        <v>97</v>
      </c>
    </row>
    <row r="121" spans="1:6" hidden="1">
      <c r="A121" t="s">
        <v>96</v>
      </c>
      <c r="B121">
        <v>953</v>
      </c>
      <c r="C121" t="str">
        <f>VLOOKUP(B121,számlarend!A:B,2,FALSE)</f>
        <v>Földvásárlási alap befizetés</v>
      </c>
      <c r="D121" t="s">
        <v>6</v>
      </c>
      <c r="E121" s="6">
        <v>12500000</v>
      </c>
      <c r="F121" t="s">
        <v>97</v>
      </c>
    </row>
    <row r="122" spans="1:6" hidden="1">
      <c r="A122" t="s">
        <v>96</v>
      </c>
      <c r="B122">
        <v>953</v>
      </c>
      <c r="C122" t="str">
        <f>VLOOKUP(B122,számlarend!A:B,2,FALSE)</f>
        <v>Földvásárlási alap befizetés</v>
      </c>
      <c r="D122" t="s">
        <v>8</v>
      </c>
      <c r="E122" s="6">
        <v>12500000</v>
      </c>
      <c r="F122" t="s">
        <v>97</v>
      </c>
    </row>
    <row r="123" spans="1:6" hidden="1">
      <c r="A123" t="s">
        <v>96</v>
      </c>
      <c r="B123">
        <v>333</v>
      </c>
      <c r="C123" t="str">
        <f>VLOOKUP(B123,számlarend!A:B,2,FALSE)</f>
        <v>Földvásárlási alap előírás</v>
      </c>
      <c r="D123" t="s">
        <v>8</v>
      </c>
      <c r="E123" s="6">
        <v>12500000</v>
      </c>
      <c r="F123" t="s">
        <v>97</v>
      </c>
    </row>
    <row r="124" spans="1:6" hidden="1">
      <c r="A124" t="s">
        <v>98</v>
      </c>
      <c r="B124">
        <v>382</v>
      </c>
      <c r="C124" t="str">
        <f>VLOOKUP(B124,számlarend!A:B,2,FALSE)</f>
        <v>Folyószámla</v>
      </c>
      <c r="D124" t="s">
        <v>6</v>
      </c>
      <c r="E124" s="6">
        <v>2500000</v>
      </c>
      <c r="F124" t="s">
        <v>99</v>
      </c>
    </row>
    <row r="125" spans="1:6" hidden="1">
      <c r="A125" t="s">
        <v>98</v>
      </c>
      <c r="B125">
        <v>953</v>
      </c>
      <c r="C125" t="str">
        <f>VLOOKUP(B125,számlarend!A:B,2,FALSE)</f>
        <v>Földvásárlási alap befizetés</v>
      </c>
      <c r="D125" t="s">
        <v>6</v>
      </c>
      <c r="E125" s="6">
        <v>2500000</v>
      </c>
      <c r="F125" t="s">
        <v>99</v>
      </c>
    </row>
    <row r="126" spans="1:6" hidden="1">
      <c r="A126" t="s">
        <v>98</v>
      </c>
      <c r="B126">
        <v>953</v>
      </c>
      <c r="C126" t="str">
        <f>VLOOKUP(B126,számlarend!A:B,2,FALSE)</f>
        <v>Földvásárlási alap befizetés</v>
      </c>
      <c r="D126" t="s">
        <v>8</v>
      </c>
      <c r="E126" s="6">
        <v>2500000</v>
      </c>
      <c r="F126" t="s">
        <v>99</v>
      </c>
    </row>
    <row r="127" spans="1:6" hidden="1">
      <c r="A127" t="s">
        <v>98</v>
      </c>
      <c r="B127">
        <v>333</v>
      </c>
      <c r="C127" t="str">
        <f>VLOOKUP(B127,számlarend!A:B,2,FALSE)</f>
        <v>Földvásárlási alap előírás</v>
      </c>
      <c r="D127" t="s">
        <v>8</v>
      </c>
      <c r="E127" s="6">
        <v>2500000</v>
      </c>
      <c r="F127" t="s">
        <v>99</v>
      </c>
    </row>
    <row r="128" spans="1:6" hidden="1">
      <c r="A128" t="s">
        <v>98</v>
      </c>
      <c r="B128">
        <v>382</v>
      </c>
      <c r="C128" t="str">
        <f>VLOOKUP(B128,számlarend!A:B,2,FALSE)</f>
        <v>Folyószámla</v>
      </c>
      <c r="D128" t="s">
        <v>6</v>
      </c>
      <c r="E128" s="6">
        <v>11500000</v>
      </c>
      <c r="F128" t="s">
        <v>100</v>
      </c>
    </row>
    <row r="129" spans="1:6" hidden="1">
      <c r="A129" t="s">
        <v>98</v>
      </c>
      <c r="B129">
        <v>953</v>
      </c>
      <c r="C129" t="str">
        <f>VLOOKUP(B129,számlarend!A:B,2,FALSE)</f>
        <v>Földvásárlási alap befizetés</v>
      </c>
      <c r="D129" t="s">
        <v>6</v>
      </c>
      <c r="E129" s="6">
        <v>11500000</v>
      </c>
      <c r="F129" t="s">
        <v>100</v>
      </c>
    </row>
    <row r="130" spans="1:6" hidden="1">
      <c r="A130" t="s">
        <v>98</v>
      </c>
      <c r="B130">
        <v>953</v>
      </c>
      <c r="C130" t="str">
        <f>VLOOKUP(B130,számlarend!A:B,2,FALSE)</f>
        <v>Földvásárlási alap befizetés</v>
      </c>
      <c r="D130" t="s">
        <v>8</v>
      </c>
      <c r="E130" s="6">
        <v>11500000</v>
      </c>
      <c r="F130" t="s">
        <v>100</v>
      </c>
    </row>
    <row r="131" spans="1:6" hidden="1">
      <c r="A131" t="s">
        <v>98</v>
      </c>
      <c r="B131">
        <v>333</v>
      </c>
      <c r="C131" t="str">
        <f>VLOOKUP(B131,számlarend!A:B,2,FALSE)</f>
        <v>Földvásárlási alap előírás</v>
      </c>
      <c r="D131" t="s">
        <v>8</v>
      </c>
      <c r="E131" s="6">
        <v>11500000</v>
      </c>
      <c r="F131" t="s">
        <v>100</v>
      </c>
    </row>
    <row r="132" spans="1:6" hidden="1">
      <c r="A132" t="s">
        <v>98</v>
      </c>
      <c r="B132">
        <v>5302</v>
      </c>
      <c r="C132" t="str">
        <f>VLOOKUP(B132,számlarend!A:B,2,FALSE)</f>
        <v>Bank költségek</v>
      </c>
      <c r="D132" t="s">
        <v>6</v>
      </c>
      <c r="E132" s="6">
        <v>148</v>
      </c>
      <c r="F132" t="s">
        <v>101</v>
      </c>
    </row>
    <row r="133" spans="1:6" hidden="1">
      <c r="A133" t="s">
        <v>98</v>
      </c>
      <c r="B133">
        <v>382</v>
      </c>
      <c r="C133" t="str">
        <f>VLOOKUP(B133,számlarend!A:B,2,FALSE)</f>
        <v>Folyószámla</v>
      </c>
      <c r="D133" t="s">
        <v>8</v>
      </c>
      <c r="E133" s="6">
        <v>148</v>
      </c>
      <c r="F133" t="s">
        <v>101</v>
      </c>
    </row>
    <row r="134" spans="1:6" hidden="1">
      <c r="A134" t="s">
        <v>102</v>
      </c>
      <c r="B134">
        <v>382</v>
      </c>
      <c r="C134" t="str">
        <f>VLOOKUP(B134,számlarend!A:B,2,FALSE)</f>
        <v>Folyószámla</v>
      </c>
      <c r="D134" t="s">
        <v>6</v>
      </c>
      <c r="E134" s="6">
        <v>10000000</v>
      </c>
      <c r="F134" t="s">
        <v>103</v>
      </c>
    </row>
    <row r="135" spans="1:6" hidden="1">
      <c r="A135" t="s">
        <v>102</v>
      </c>
      <c r="B135">
        <v>953</v>
      </c>
      <c r="C135" t="str">
        <f>VLOOKUP(B135,számlarend!A:B,2,FALSE)</f>
        <v>Földvásárlási alap befizetés</v>
      </c>
      <c r="D135" t="s">
        <v>6</v>
      </c>
      <c r="E135" s="6">
        <v>10000000</v>
      </c>
      <c r="F135" t="s">
        <v>103</v>
      </c>
    </row>
    <row r="136" spans="1:6" hidden="1">
      <c r="A136" t="s">
        <v>102</v>
      </c>
      <c r="B136">
        <v>953</v>
      </c>
      <c r="C136" t="str">
        <f>VLOOKUP(B136,számlarend!A:B,2,FALSE)</f>
        <v>Földvásárlási alap befizetés</v>
      </c>
      <c r="D136" t="s">
        <v>8</v>
      </c>
      <c r="E136" s="6">
        <v>10000000</v>
      </c>
      <c r="F136" t="s">
        <v>103</v>
      </c>
    </row>
    <row r="137" spans="1:6" hidden="1">
      <c r="A137" t="s">
        <v>102</v>
      </c>
      <c r="B137">
        <v>333</v>
      </c>
      <c r="C137" t="str">
        <f>VLOOKUP(B137,számlarend!A:B,2,FALSE)</f>
        <v>Földvásárlási alap előírás</v>
      </c>
      <c r="D137" t="s">
        <v>8</v>
      </c>
      <c r="E137" s="6">
        <v>10000000</v>
      </c>
      <c r="F137" t="s">
        <v>103</v>
      </c>
    </row>
    <row r="138" spans="1:6" hidden="1">
      <c r="A138" t="s">
        <v>104</v>
      </c>
      <c r="B138">
        <v>5302</v>
      </c>
      <c r="C138" t="str">
        <f>VLOOKUP(B138,számlarend!A:B,2,FALSE)</f>
        <v>Bank költségek</v>
      </c>
      <c r="D138" t="s">
        <v>6</v>
      </c>
      <c r="E138" s="6">
        <v>764</v>
      </c>
      <c r="F138" t="s">
        <v>105</v>
      </c>
    </row>
    <row r="139" spans="1:6" hidden="1">
      <c r="A139" t="s">
        <v>104</v>
      </c>
      <c r="B139">
        <v>382</v>
      </c>
      <c r="C139" t="str">
        <f>VLOOKUP(B139,számlarend!A:B,2,FALSE)</f>
        <v>Folyószámla</v>
      </c>
      <c r="D139" t="s">
        <v>8</v>
      </c>
      <c r="E139" s="6">
        <v>764</v>
      </c>
      <c r="F139" t="s">
        <v>105</v>
      </c>
    </row>
    <row r="140" spans="1:6" hidden="1">
      <c r="A140" t="s">
        <v>106</v>
      </c>
      <c r="B140">
        <v>333</v>
      </c>
      <c r="C140" t="str">
        <f>VLOOKUP(B140,számlarend!A:B,2,FALSE)</f>
        <v>Földvásárlási alap előírás</v>
      </c>
      <c r="D140" t="s">
        <v>6</v>
      </c>
      <c r="E140" s="6">
        <v>12500000</v>
      </c>
      <c r="F140" t="s">
        <v>107</v>
      </c>
    </row>
    <row r="141" spans="1:6" hidden="1">
      <c r="A141" t="s">
        <v>106</v>
      </c>
      <c r="B141">
        <v>953</v>
      </c>
      <c r="C141" t="str">
        <f>VLOOKUP(B141,számlarend!A:B,2,FALSE)</f>
        <v>Földvásárlási alap befizetés</v>
      </c>
      <c r="D141" t="s">
        <v>8</v>
      </c>
      <c r="E141" s="6">
        <v>12500000</v>
      </c>
      <c r="F141" t="s">
        <v>107</v>
      </c>
    </row>
    <row r="142" spans="1:6" hidden="1">
      <c r="A142" t="s">
        <v>106</v>
      </c>
      <c r="B142">
        <v>333</v>
      </c>
      <c r="C142" t="str">
        <f>VLOOKUP(B142,számlarend!A:B,2,FALSE)</f>
        <v>Földvásárlási alap előírás</v>
      </c>
      <c r="D142" t="s">
        <v>6</v>
      </c>
      <c r="E142" s="6">
        <v>12500000</v>
      </c>
      <c r="F142" t="s">
        <v>108</v>
      </c>
    </row>
    <row r="143" spans="1:6" hidden="1">
      <c r="A143" t="s">
        <v>106</v>
      </c>
      <c r="B143">
        <v>953</v>
      </c>
      <c r="C143" t="str">
        <f>VLOOKUP(B143,számlarend!A:B,2,FALSE)</f>
        <v>Földvásárlási alap befizetés</v>
      </c>
      <c r="D143" t="s">
        <v>8</v>
      </c>
      <c r="E143" s="6">
        <v>12500000</v>
      </c>
      <c r="F143" t="s">
        <v>108</v>
      </c>
    </row>
    <row r="144" spans="1:6">
      <c r="A144" t="s">
        <v>106</v>
      </c>
      <c r="B144">
        <v>333</v>
      </c>
      <c r="C144" t="str">
        <f>VLOOKUP(B144,számlarend!A:B,2,FALSE)</f>
        <v>Földvásárlási alap előírás</v>
      </c>
      <c r="D144" t="s">
        <v>6</v>
      </c>
      <c r="E144" s="6">
        <v>12500000</v>
      </c>
      <c r="F144" t="s">
        <v>109</v>
      </c>
    </row>
    <row r="145" spans="1:6">
      <c r="A145" t="s">
        <v>106</v>
      </c>
      <c r="B145">
        <v>953</v>
      </c>
      <c r="C145" t="str">
        <f>VLOOKUP(B145,számlarend!A:B,2,FALSE)</f>
        <v>Földvásárlási alap befizetés</v>
      </c>
      <c r="D145" t="s">
        <v>8</v>
      </c>
      <c r="E145" s="6">
        <v>12500000</v>
      </c>
      <c r="F145" t="s">
        <v>109</v>
      </c>
    </row>
    <row r="146" spans="1:6" hidden="1">
      <c r="A146" t="s">
        <v>106</v>
      </c>
      <c r="B146">
        <v>333</v>
      </c>
      <c r="C146" t="str">
        <f>VLOOKUP(B146,számlarend!A:B,2,FALSE)</f>
        <v>Földvásárlási alap előírás</v>
      </c>
      <c r="D146" t="s">
        <v>6</v>
      </c>
      <c r="E146" s="6">
        <v>12500000</v>
      </c>
      <c r="F146" t="s">
        <v>110</v>
      </c>
    </row>
    <row r="147" spans="1:6" hidden="1">
      <c r="A147" t="s">
        <v>106</v>
      </c>
      <c r="B147">
        <v>953</v>
      </c>
      <c r="C147" t="str">
        <f>VLOOKUP(B147,számlarend!A:B,2,FALSE)</f>
        <v>Földvásárlási alap befizetés</v>
      </c>
      <c r="D147" t="s">
        <v>8</v>
      </c>
      <c r="E147" s="6">
        <v>12500000</v>
      </c>
      <c r="F147" t="s">
        <v>110</v>
      </c>
    </row>
    <row r="148" spans="1:6" hidden="1">
      <c r="A148" t="s">
        <v>106</v>
      </c>
      <c r="B148">
        <v>198</v>
      </c>
      <c r="C148" t="str">
        <f>VLOOKUP(B148,számlarend!A:B,2,FALSE)</f>
        <v>Földvásárlásra adott kölcsönök</v>
      </c>
      <c r="D148" t="s">
        <v>6</v>
      </c>
      <c r="E148" s="6">
        <v>43000000</v>
      </c>
      <c r="F148" t="s">
        <v>111</v>
      </c>
    </row>
    <row r="149" spans="1:6" hidden="1">
      <c r="A149" t="s">
        <v>106</v>
      </c>
      <c r="B149">
        <v>454</v>
      </c>
      <c r="C149" t="str">
        <f>VLOOKUP(B149,számlarend!A:B,2,FALSE)</f>
        <v>Szállítók</v>
      </c>
      <c r="D149" t="s">
        <v>8</v>
      </c>
      <c r="E149" s="6">
        <v>43000000</v>
      </c>
      <c r="F149" t="s">
        <v>111</v>
      </c>
    </row>
    <row r="150" spans="1:6" hidden="1">
      <c r="A150" t="s">
        <v>106</v>
      </c>
      <c r="B150">
        <v>198</v>
      </c>
      <c r="C150" t="str">
        <f>VLOOKUP(B150,számlarend!A:B,2,FALSE)</f>
        <v>Földvásárlásra adott kölcsönök</v>
      </c>
      <c r="D150" t="s">
        <v>6</v>
      </c>
      <c r="E150" s="6">
        <v>-43000000</v>
      </c>
      <c r="F150" t="s">
        <v>112</v>
      </c>
    </row>
    <row r="151" spans="1:6" hidden="1">
      <c r="A151" t="s">
        <v>106</v>
      </c>
      <c r="B151">
        <v>454</v>
      </c>
      <c r="C151" t="str">
        <f>VLOOKUP(B151,számlarend!A:B,2,FALSE)</f>
        <v>Szállítók</v>
      </c>
      <c r="D151" t="s">
        <v>8</v>
      </c>
      <c r="E151" s="6">
        <v>-43000000</v>
      </c>
      <c r="F151" t="s">
        <v>112</v>
      </c>
    </row>
    <row r="152" spans="1:6" hidden="1">
      <c r="A152" t="s">
        <v>113</v>
      </c>
      <c r="B152">
        <v>3816</v>
      </c>
      <c r="C152" t="str">
        <f>VLOOKUP(B152,számlarend!A:B,2,FALSE)</f>
        <v>Laci pénztár zsebe</v>
      </c>
      <c r="D152" t="s">
        <v>6</v>
      </c>
      <c r="E152" s="6">
        <v>1000000</v>
      </c>
      <c r="F152" t="s">
        <v>114</v>
      </c>
    </row>
    <row r="153" spans="1:6" hidden="1">
      <c r="A153" t="s">
        <v>113</v>
      </c>
      <c r="B153">
        <v>953</v>
      </c>
      <c r="C153" t="str">
        <f>VLOOKUP(B153,számlarend!A:B,2,FALSE)</f>
        <v>Földvásárlási alap befizetés</v>
      </c>
      <c r="D153" t="s">
        <v>6</v>
      </c>
      <c r="E153" s="6">
        <v>1000000</v>
      </c>
      <c r="F153" t="s">
        <v>114</v>
      </c>
    </row>
    <row r="154" spans="1:6" hidden="1">
      <c r="A154" t="s">
        <v>113</v>
      </c>
      <c r="B154">
        <v>953</v>
      </c>
      <c r="C154" t="str">
        <f>VLOOKUP(B154,számlarend!A:B,2,FALSE)</f>
        <v>Földvásárlási alap befizetés</v>
      </c>
      <c r="D154" t="s">
        <v>8</v>
      </c>
      <c r="E154" s="6">
        <v>1000000</v>
      </c>
      <c r="F154" t="s">
        <v>114</v>
      </c>
    </row>
    <row r="155" spans="1:6" hidden="1">
      <c r="A155" t="s">
        <v>113</v>
      </c>
      <c r="B155">
        <v>333</v>
      </c>
      <c r="C155" t="str">
        <f>VLOOKUP(B155,számlarend!A:B,2,FALSE)</f>
        <v>Földvásárlási alap előírás</v>
      </c>
      <c r="D155" t="s">
        <v>8</v>
      </c>
      <c r="E155" s="6">
        <v>1000000</v>
      </c>
      <c r="F155" t="s">
        <v>114</v>
      </c>
    </row>
    <row r="156" spans="1:6" hidden="1">
      <c r="A156" t="s">
        <v>113</v>
      </c>
      <c r="B156">
        <v>3816</v>
      </c>
      <c r="C156" t="str">
        <f>VLOOKUP(B156,számlarend!A:B,2,FALSE)</f>
        <v>Laci pénztár zsebe</v>
      </c>
      <c r="D156" t="s">
        <v>6</v>
      </c>
      <c r="E156" s="6">
        <v>-1000000</v>
      </c>
      <c r="F156" t="s">
        <v>115</v>
      </c>
    </row>
    <row r="157" spans="1:6" hidden="1">
      <c r="A157" t="s">
        <v>113</v>
      </c>
      <c r="B157">
        <v>953</v>
      </c>
      <c r="C157" t="str">
        <f>VLOOKUP(B157,számlarend!A:B,2,FALSE)</f>
        <v>Földvásárlási alap befizetés</v>
      </c>
      <c r="D157" t="s">
        <v>6</v>
      </c>
      <c r="E157" s="6">
        <v>-1000000</v>
      </c>
      <c r="F157" t="s">
        <v>115</v>
      </c>
    </row>
    <row r="158" spans="1:6" hidden="1">
      <c r="A158" t="s">
        <v>113</v>
      </c>
      <c r="B158">
        <v>953</v>
      </c>
      <c r="C158" t="str">
        <f>VLOOKUP(B158,számlarend!A:B,2,FALSE)</f>
        <v>Földvásárlási alap befizetés</v>
      </c>
      <c r="D158" t="s">
        <v>8</v>
      </c>
      <c r="E158" s="6">
        <v>-1000000</v>
      </c>
      <c r="F158" t="s">
        <v>115</v>
      </c>
    </row>
    <row r="159" spans="1:6" hidden="1">
      <c r="A159" t="s">
        <v>113</v>
      </c>
      <c r="B159">
        <v>333</v>
      </c>
      <c r="C159" t="str">
        <f>VLOOKUP(B159,számlarend!A:B,2,FALSE)</f>
        <v>Földvásárlási alap előírás</v>
      </c>
      <c r="D159" t="s">
        <v>8</v>
      </c>
      <c r="E159" s="6">
        <v>-1000000</v>
      </c>
      <c r="F159" t="s">
        <v>115</v>
      </c>
    </row>
    <row r="160" spans="1:6" hidden="1">
      <c r="A160" t="s">
        <v>116</v>
      </c>
      <c r="B160">
        <v>192</v>
      </c>
      <c r="C160" t="str">
        <f>VLOOKUP(B160,számlarend!A:B,2,FALSE)</f>
        <v>Tagoknak adott kölcsönök</v>
      </c>
      <c r="D160" t="s">
        <v>6</v>
      </c>
      <c r="E160" s="6">
        <v>1000000</v>
      </c>
      <c r="F160" t="s">
        <v>117</v>
      </c>
    </row>
    <row r="161" spans="1:6" hidden="1">
      <c r="A161" t="s">
        <v>116</v>
      </c>
      <c r="B161">
        <v>3816</v>
      </c>
      <c r="C161" t="str">
        <f>VLOOKUP(B161,számlarend!A:B,2,FALSE)</f>
        <v>Laci pénztár zsebe</v>
      </c>
      <c r="D161" t="s">
        <v>8</v>
      </c>
      <c r="E161" s="6">
        <v>1000000</v>
      </c>
      <c r="F161" t="s">
        <v>117</v>
      </c>
    </row>
    <row r="162" spans="1:6" hidden="1">
      <c r="A162" t="s">
        <v>116</v>
      </c>
      <c r="B162">
        <v>3832</v>
      </c>
      <c r="C162" t="str">
        <f>VLOOKUP(B162,számlarend!A:B,2,FALSE)</f>
        <v>Dániel homály pénztár zsebe</v>
      </c>
      <c r="D162" t="s">
        <v>6</v>
      </c>
      <c r="E162" s="6">
        <v>1000000</v>
      </c>
      <c r="F162" t="s">
        <v>118</v>
      </c>
    </row>
    <row r="163" spans="1:6" hidden="1">
      <c r="A163" t="s">
        <v>116</v>
      </c>
      <c r="B163">
        <v>953</v>
      </c>
      <c r="C163" t="str">
        <f>VLOOKUP(B163,számlarend!A:B,2,FALSE)</f>
        <v>Földvásárlási alap befizetés</v>
      </c>
      <c r="D163" t="s">
        <v>6</v>
      </c>
      <c r="E163" s="6">
        <v>1000000</v>
      </c>
      <c r="F163" t="s">
        <v>118</v>
      </c>
    </row>
    <row r="164" spans="1:6" hidden="1">
      <c r="A164" t="s">
        <v>116</v>
      </c>
      <c r="B164">
        <v>953</v>
      </c>
      <c r="C164" t="str">
        <f>VLOOKUP(B164,számlarend!A:B,2,FALSE)</f>
        <v>Földvásárlási alap befizetés</v>
      </c>
      <c r="D164" t="s">
        <v>8</v>
      </c>
      <c r="E164" s="6">
        <v>1000000</v>
      </c>
      <c r="F164" t="s">
        <v>118</v>
      </c>
    </row>
    <row r="165" spans="1:6" hidden="1">
      <c r="A165" t="s">
        <v>116</v>
      </c>
      <c r="B165">
        <v>333</v>
      </c>
      <c r="C165" t="str">
        <f>VLOOKUP(B165,számlarend!A:B,2,FALSE)</f>
        <v>Földvásárlási alap előírás</v>
      </c>
      <c r="D165" t="s">
        <v>8</v>
      </c>
      <c r="E165" s="6">
        <v>1000000</v>
      </c>
      <c r="F165" t="s">
        <v>118</v>
      </c>
    </row>
    <row r="166" spans="1:6" hidden="1">
      <c r="A166" t="s">
        <v>116</v>
      </c>
      <c r="B166">
        <v>192</v>
      </c>
      <c r="C166" t="str">
        <f>VLOOKUP(B166,számlarend!A:B,2,FALSE)</f>
        <v>Tagoknak adott kölcsönök</v>
      </c>
      <c r="D166" t="s">
        <v>6</v>
      </c>
      <c r="E166" s="6">
        <v>-1000000</v>
      </c>
      <c r="F166" t="s">
        <v>119</v>
      </c>
    </row>
    <row r="167" spans="1:6" hidden="1">
      <c r="A167" t="s">
        <v>116</v>
      </c>
      <c r="B167">
        <v>3816</v>
      </c>
      <c r="C167" t="str">
        <f>VLOOKUP(B167,számlarend!A:B,2,FALSE)</f>
        <v>Laci pénztár zsebe</v>
      </c>
      <c r="D167" t="s">
        <v>8</v>
      </c>
      <c r="E167" s="6">
        <v>-1000000</v>
      </c>
      <c r="F167" t="s">
        <v>119</v>
      </c>
    </row>
    <row r="168" spans="1:6" hidden="1">
      <c r="A168" t="s">
        <v>120</v>
      </c>
      <c r="B168">
        <v>413</v>
      </c>
      <c r="C168" t="str">
        <f>VLOOKUP(B168,számlarend!A:B,2,FALSE)</f>
        <v>Eredménytartalék</v>
      </c>
      <c r="D168" t="s">
        <v>6</v>
      </c>
      <c r="E168" s="6">
        <v>5511</v>
      </c>
      <c r="F168" t="s">
        <v>121</v>
      </c>
    </row>
    <row r="169" spans="1:6" hidden="1">
      <c r="A169" t="s">
        <v>120</v>
      </c>
      <c r="B169">
        <v>419</v>
      </c>
      <c r="C169" t="str">
        <f>VLOOKUP(B169,számlarend!A:B,2,FALSE)</f>
        <v>Mérleg szerinti eredmény</v>
      </c>
      <c r="D169" t="s">
        <v>8</v>
      </c>
      <c r="E169" s="6">
        <v>5511</v>
      </c>
      <c r="F169" t="s">
        <v>121</v>
      </c>
    </row>
    <row r="170" spans="1:6" hidden="1">
      <c r="A170" t="s">
        <v>122</v>
      </c>
      <c r="B170">
        <v>5302</v>
      </c>
      <c r="C170" t="str">
        <f>VLOOKUP(B170,számlarend!A:B,2,FALSE)</f>
        <v>Bank költségek</v>
      </c>
      <c r="D170" t="s">
        <v>6</v>
      </c>
      <c r="E170" s="6">
        <v>255</v>
      </c>
      <c r="F170" t="s">
        <v>123</v>
      </c>
    </row>
    <row r="171" spans="1:6" hidden="1">
      <c r="A171" t="s">
        <v>122</v>
      </c>
      <c r="B171">
        <v>382</v>
      </c>
      <c r="C171" t="str">
        <f>VLOOKUP(B171,számlarend!A:B,2,FALSE)</f>
        <v>Folyószámla</v>
      </c>
      <c r="D171" t="s">
        <v>8</v>
      </c>
      <c r="E171" s="6">
        <v>255</v>
      </c>
      <c r="F171" t="s">
        <v>123</v>
      </c>
    </row>
    <row r="172" spans="1:6" hidden="1">
      <c r="A172" t="s">
        <v>122</v>
      </c>
      <c r="B172">
        <v>5302</v>
      </c>
      <c r="C172" t="str">
        <f>VLOOKUP(B172,számlarend!A:B,2,FALSE)</f>
        <v>Bank költségek</v>
      </c>
      <c r="D172" t="s">
        <v>6</v>
      </c>
      <c r="E172" s="6">
        <v>764</v>
      </c>
      <c r="F172" t="s">
        <v>124</v>
      </c>
    </row>
    <row r="173" spans="1:6" hidden="1">
      <c r="A173" t="s">
        <v>122</v>
      </c>
      <c r="B173">
        <v>382</v>
      </c>
      <c r="C173" t="str">
        <f>VLOOKUP(B173,számlarend!A:B,2,FALSE)</f>
        <v>Folyószámla</v>
      </c>
      <c r="D173" t="s">
        <v>8</v>
      </c>
      <c r="E173" s="6">
        <v>764</v>
      </c>
      <c r="F173" t="s">
        <v>124</v>
      </c>
    </row>
    <row r="174" spans="1:6" hidden="1">
      <c r="A174" t="s">
        <v>122</v>
      </c>
      <c r="B174">
        <v>382</v>
      </c>
      <c r="C174" t="str">
        <f>VLOOKUP(B174,számlarend!A:B,2,FALSE)</f>
        <v>Folyószámla</v>
      </c>
      <c r="D174" t="s">
        <v>6</v>
      </c>
      <c r="E174" s="6">
        <v>7</v>
      </c>
      <c r="F174" t="s">
        <v>125</v>
      </c>
    </row>
    <row r="175" spans="1:6" hidden="1">
      <c r="A175" t="s">
        <v>122</v>
      </c>
      <c r="B175">
        <v>973</v>
      </c>
      <c r="C175" t="str">
        <f>VLOOKUP(B175,számlarend!A:B,2,FALSE)</f>
        <v>Hitelintézettől kapott kamatok</v>
      </c>
      <c r="D175" t="s">
        <v>8</v>
      </c>
      <c r="E175" s="6">
        <v>7</v>
      </c>
      <c r="F175" t="s">
        <v>125</v>
      </c>
    </row>
    <row r="176" spans="1:6" hidden="1">
      <c r="A176" t="s">
        <v>122</v>
      </c>
      <c r="B176">
        <v>956</v>
      </c>
      <c r="C176" t="str">
        <f>VLOOKUP(B176,számlarend!A:B,2,FALSE)</f>
        <v>Tagbetét befizetés</v>
      </c>
      <c r="D176" t="s">
        <v>6</v>
      </c>
      <c r="E176" s="6">
        <v>3000000</v>
      </c>
      <c r="F176" t="s">
        <v>126</v>
      </c>
    </row>
    <row r="177" spans="1:6" hidden="1">
      <c r="A177" t="s">
        <v>122</v>
      </c>
      <c r="B177">
        <v>411</v>
      </c>
      <c r="C177" t="str">
        <f>VLOOKUP(B177,számlarend!A:B,2,FALSE)</f>
        <v>Jegyzett tőke</v>
      </c>
      <c r="D177" t="s">
        <v>8</v>
      </c>
      <c r="E177" s="6">
        <v>3000000</v>
      </c>
      <c r="F177" t="s">
        <v>126</v>
      </c>
    </row>
    <row r="178" spans="1:6" hidden="1">
      <c r="A178" t="s">
        <v>122</v>
      </c>
      <c r="B178">
        <v>90</v>
      </c>
      <c r="C178" t="str">
        <f>VLOOKUP(B178,számlarend!A:B,2,FALSE)</f>
        <v>Bevételek átvezetése</v>
      </c>
      <c r="D178" t="s">
        <v>6</v>
      </c>
      <c r="E178" s="6">
        <v>360008</v>
      </c>
      <c r="F178" t="s">
        <v>127</v>
      </c>
    </row>
    <row r="179" spans="1:6" hidden="1">
      <c r="A179" t="s">
        <v>122</v>
      </c>
      <c r="B179">
        <v>419</v>
      </c>
      <c r="C179" t="str">
        <f>VLOOKUP(B179,számlarend!A:B,2,FALSE)</f>
        <v>Mérleg szerinti eredmény</v>
      </c>
      <c r="D179" t="s">
        <v>6</v>
      </c>
      <c r="E179" s="6">
        <v>5511</v>
      </c>
      <c r="F179" t="s">
        <v>127</v>
      </c>
    </row>
    <row r="180" spans="1:6" hidden="1">
      <c r="A180" t="s">
        <v>122</v>
      </c>
      <c r="B180">
        <v>50</v>
      </c>
      <c r="C180" t="str">
        <f>VLOOKUP(B180,számlarend!A:B,2,FALSE)</f>
        <v>Kiadások átvezetése</v>
      </c>
      <c r="D180" t="s">
        <v>8</v>
      </c>
      <c r="E180" s="6">
        <v>365519</v>
      </c>
      <c r="F180" t="s">
        <v>127</v>
      </c>
    </row>
    <row r="181" spans="1:6" hidden="1">
      <c r="A181" t="s">
        <v>122</v>
      </c>
      <c r="B181">
        <v>954</v>
      </c>
      <c r="C181" t="str">
        <f>VLOOKUP(B181,számlarend!A:B,2,FALSE)</f>
        <v>Egyéb befizetés</v>
      </c>
      <c r="D181" t="s">
        <v>6</v>
      </c>
      <c r="E181" s="6">
        <v>560000</v>
      </c>
      <c r="F181" t="s">
        <v>128</v>
      </c>
    </row>
    <row r="182" spans="1:6" hidden="1">
      <c r="A182" t="s">
        <v>122</v>
      </c>
      <c r="B182">
        <v>75</v>
      </c>
      <c r="C182" t="str">
        <f>VLOOKUP(B182,számlarend!A:B,2,FALSE)</f>
        <v>Előírt homály befizetések</v>
      </c>
      <c r="D182" t="s">
        <v>8</v>
      </c>
      <c r="E182" s="6">
        <v>560000</v>
      </c>
      <c r="F182" t="s">
        <v>128</v>
      </c>
    </row>
    <row r="183" spans="1:6" hidden="1">
      <c r="A183" t="s">
        <v>122</v>
      </c>
      <c r="B183">
        <v>954</v>
      </c>
      <c r="C183" t="str">
        <f>VLOOKUP(B183,számlarend!A:B,2,FALSE)</f>
        <v>Egyéb befizetés</v>
      </c>
      <c r="D183" t="s">
        <v>6</v>
      </c>
      <c r="E183" s="6">
        <v>-560000</v>
      </c>
      <c r="F183" t="s">
        <v>129</v>
      </c>
    </row>
    <row r="184" spans="1:6" hidden="1">
      <c r="A184" t="s">
        <v>122</v>
      </c>
      <c r="B184">
        <v>75</v>
      </c>
      <c r="C184" t="str">
        <f>VLOOKUP(B184,számlarend!A:B,2,FALSE)</f>
        <v>Előírt homály befizetések</v>
      </c>
      <c r="D184" t="s">
        <v>8</v>
      </c>
      <c r="E184" s="6">
        <v>-560000</v>
      </c>
      <c r="F184" t="s">
        <v>129</v>
      </c>
    </row>
    <row r="185" spans="1:6" hidden="1">
      <c r="A185" t="s">
        <v>130</v>
      </c>
      <c r="B185">
        <v>382</v>
      </c>
      <c r="C185" t="str">
        <f>VLOOKUP(B185,számlarend!A:B,2,FALSE)</f>
        <v>Folyószámla</v>
      </c>
      <c r="D185" t="s">
        <v>6</v>
      </c>
      <c r="E185" s="6">
        <v>3000000</v>
      </c>
      <c r="F185" t="s">
        <v>131</v>
      </c>
    </row>
    <row r="186" spans="1:6" hidden="1">
      <c r="A186" t="s">
        <v>130</v>
      </c>
      <c r="B186">
        <v>3811</v>
      </c>
      <c r="C186" t="str">
        <f>VLOOKUP(B186,számlarend!A:B,2,FALSE)</f>
        <v>Pál pénztár zsebe</v>
      </c>
      <c r="D186" t="s">
        <v>8</v>
      </c>
      <c r="E186" s="6">
        <v>3000000</v>
      </c>
      <c r="F186" t="s">
        <v>131</v>
      </c>
    </row>
    <row r="187" spans="1:6" hidden="1">
      <c r="A187" t="s">
        <v>130</v>
      </c>
      <c r="B187">
        <v>5302</v>
      </c>
      <c r="C187" t="str">
        <f>VLOOKUP(B187,számlarend!A:B,2,FALSE)</f>
        <v>Bank költségek</v>
      </c>
      <c r="D187" t="s">
        <v>6</v>
      </c>
      <c r="E187" s="6">
        <v>4500</v>
      </c>
      <c r="F187" t="s">
        <v>132</v>
      </c>
    </row>
    <row r="188" spans="1:6" hidden="1">
      <c r="A188" t="s">
        <v>130</v>
      </c>
      <c r="B188">
        <v>382</v>
      </c>
      <c r="C188" t="str">
        <f>VLOOKUP(B188,számlarend!A:B,2,FALSE)</f>
        <v>Folyószámla</v>
      </c>
      <c r="D188" t="s">
        <v>8</v>
      </c>
      <c r="E188" s="6">
        <v>4500</v>
      </c>
      <c r="F188" t="s">
        <v>132</v>
      </c>
    </row>
    <row r="189" spans="1:6" hidden="1">
      <c r="A189" t="s">
        <v>130</v>
      </c>
      <c r="B189">
        <v>382</v>
      </c>
      <c r="C189" t="str">
        <f>VLOOKUP(B189,számlarend!A:B,2,FALSE)</f>
        <v>Folyószámla</v>
      </c>
      <c r="D189" t="s">
        <v>6</v>
      </c>
      <c r="E189" s="6">
        <v>1</v>
      </c>
      <c r="F189" t="s">
        <v>133</v>
      </c>
    </row>
    <row r="190" spans="1:6" hidden="1">
      <c r="A190" t="s">
        <v>130</v>
      </c>
      <c r="B190">
        <v>973</v>
      </c>
      <c r="C190" t="str">
        <f>VLOOKUP(B190,számlarend!A:B,2,FALSE)</f>
        <v>Hitelintézettől kapott kamatok</v>
      </c>
      <c r="D190" t="s">
        <v>8</v>
      </c>
      <c r="E190" s="6">
        <v>1</v>
      </c>
      <c r="F190" t="s">
        <v>133</v>
      </c>
    </row>
    <row r="191" spans="1:6" hidden="1">
      <c r="A191" t="s">
        <v>134</v>
      </c>
      <c r="B191">
        <v>6304</v>
      </c>
      <c r="C191" t="str">
        <f>VLOOKUP(B191,számlarend!A:B,2,FALSE)</f>
        <v>Jogi költségek</v>
      </c>
      <c r="D191" t="s">
        <v>6</v>
      </c>
      <c r="E191" s="6">
        <v>120000</v>
      </c>
      <c r="F191" t="s">
        <v>135</v>
      </c>
    </row>
    <row r="192" spans="1:6" hidden="1">
      <c r="A192" t="s">
        <v>134</v>
      </c>
      <c r="B192">
        <v>6304</v>
      </c>
      <c r="C192" t="str">
        <f>VLOOKUP(B192,számlarend!A:B,2,FALSE)</f>
        <v>Jogi költségek</v>
      </c>
      <c r="D192" t="s">
        <v>6</v>
      </c>
      <c r="E192" s="6">
        <v>10000</v>
      </c>
      <c r="F192" t="s">
        <v>135</v>
      </c>
    </row>
    <row r="193" spans="1:6" hidden="1">
      <c r="A193" t="s">
        <v>134</v>
      </c>
      <c r="B193">
        <v>3831</v>
      </c>
      <c r="C193" t="str">
        <f>VLOOKUP(B193,számlarend!A:B,2,FALSE)</f>
        <v>Pál homály pénztár zsebe</v>
      </c>
      <c r="D193" t="s">
        <v>8</v>
      </c>
      <c r="E193" s="6">
        <v>130000</v>
      </c>
      <c r="F193" t="s">
        <v>135</v>
      </c>
    </row>
    <row r="194" spans="1:6" hidden="1">
      <c r="A194" t="s">
        <v>136</v>
      </c>
      <c r="B194">
        <v>3831</v>
      </c>
      <c r="C194" t="str">
        <f>VLOOKUP(B194,számlarend!A:B,2,FALSE)</f>
        <v>Pál homály pénztár zsebe</v>
      </c>
      <c r="D194" t="s">
        <v>6</v>
      </c>
      <c r="E194" s="6">
        <v>30000</v>
      </c>
      <c r="F194" t="s">
        <v>137</v>
      </c>
    </row>
    <row r="195" spans="1:6" hidden="1">
      <c r="A195" t="s">
        <v>136</v>
      </c>
      <c r="B195">
        <v>75</v>
      </c>
      <c r="C195" t="str">
        <f>VLOOKUP(B195,számlarend!A:B,2,FALSE)</f>
        <v>Előírt homály befizetések</v>
      </c>
      <c r="D195" t="s">
        <v>8</v>
      </c>
      <c r="E195" s="6">
        <v>30000</v>
      </c>
      <c r="F195" t="s">
        <v>137</v>
      </c>
    </row>
    <row r="196" spans="1:6" hidden="1">
      <c r="A196" t="s">
        <v>136</v>
      </c>
      <c r="B196">
        <v>3831</v>
      </c>
      <c r="C196" t="str">
        <f>VLOOKUP(B196,számlarend!A:B,2,FALSE)</f>
        <v>Pál homály pénztár zsebe</v>
      </c>
      <c r="D196" t="s">
        <v>6</v>
      </c>
      <c r="E196" s="6">
        <v>30000</v>
      </c>
      <c r="F196" t="s">
        <v>138</v>
      </c>
    </row>
    <row r="197" spans="1:6" hidden="1">
      <c r="A197" t="s">
        <v>136</v>
      </c>
      <c r="B197">
        <v>75</v>
      </c>
      <c r="C197" t="str">
        <f>VLOOKUP(B197,számlarend!A:B,2,FALSE)</f>
        <v>Előírt homály befizetések</v>
      </c>
      <c r="D197" t="s">
        <v>8</v>
      </c>
      <c r="E197" s="6">
        <v>30000</v>
      </c>
      <c r="F197" t="s">
        <v>138</v>
      </c>
    </row>
    <row r="198" spans="1:6" hidden="1">
      <c r="A198" t="s">
        <v>136</v>
      </c>
      <c r="B198">
        <v>3831</v>
      </c>
      <c r="C198" t="str">
        <f>VLOOKUP(B198,számlarend!A:B,2,FALSE)</f>
        <v>Pál homály pénztár zsebe</v>
      </c>
      <c r="D198" t="s">
        <v>6</v>
      </c>
      <c r="E198" s="6">
        <v>30000</v>
      </c>
      <c r="F198" t="s">
        <v>139</v>
      </c>
    </row>
    <row r="199" spans="1:6" hidden="1">
      <c r="A199" t="s">
        <v>136</v>
      </c>
      <c r="B199">
        <v>75</v>
      </c>
      <c r="C199" t="str">
        <f>VLOOKUP(B199,számlarend!A:B,2,FALSE)</f>
        <v>Előírt homály befizetések</v>
      </c>
      <c r="D199" t="s">
        <v>8</v>
      </c>
      <c r="E199" s="6">
        <v>30000</v>
      </c>
      <c r="F199" t="s">
        <v>139</v>
      </c>
    </row>
    <row r="200" spans="1:6" hidden="1">
      <c r="A200" t="s">
        <v>136</v>
      </c>
      <c r="B200">
        <v>3831</v>
      </c>
      <c r="C200" t="str">
        <f>VLOOKUP(B200,számlarend!A:B,2,FALSE)</f>
        <v>Pál homály pénztár zsebe</v>
      </c>
      <c r="D200" t="s">
        <v>6</v>
      </c>
      <c r="E200" s="6">
        <v>30000</v>
      </c>
      <c r="F200" t="s">
        <v>140</v>
      </c>
    </row>
    <row r="201" spans="1:6" hidden="1">
      <c r="A201" t="s">
        <v>136</v>
      </c>
      <c r="B201">
        <v>75</v>
      </c>
      <c r="C201" t="str">
        <f>VLOOKUP(B201,számlarend!A:B,2,FALSE)</f>
        <v>Előírt homály befizetések</v>
      </c>
      <c r="D201" t="s">
        <v>8</v>
      </c>
      <c r="E201" s="6">
        <v>30000</v>
      </c>
      <c r="F201" t="s">
        <v>140</v>
      </c>
    </row>
    <row r="202" spans="1:6" hidden="1">
      <c r="A202" t="s">
        <v>141</v>
      </c>
      <c r="B202">
        <v>336</v>
      </c>
      <c r="C202" t="str">
        <f>VLOOKUP(B202,számlarend!A:B,2,FALSE)</f>
        <v>Tagbetét előírás</v>
      </c>
      <c r="D202" t="s">
        <v>6</v>
      </c>
      <c r="E202" s="6">
        <v>500000</v>
      </c>
      <c r="F202" t="s">
        <v>142</v>
      </c>
    </row>
    <row r="203" spans="1:6" hidden="1">
      <c r="A203" t="s">
        <v>141</v>
      </c>
      <c r="B203">
        <v>956</v>
      </c>
      <c r="C203" t="str">
        <f>VLOOKUP(B203,számlarend!A:B,2,FALSE)</f>
        <v>Tagbetét befizetés</v>
      </c>
      <c r="D203" t="s">
        <v>8</v>
      </c>
      <c r="E203" s="6">
        <v>500000</v>
      </c>
      <c r="F203" t="s">
        <v>142</v>
      </c>
    </row>
    <row r="204" spans="1:6" hidden="1">
      <c r="A204" t="s">
        <v>141</v>
      </c>
      <c r="B204">
        <v>336</v>
      </c>
      <c r="C204" t="str">
        <f>VLOOKUP(B204,számlarend!A:B,2,FALSE)</f>
        <v>Tagbetét előírás</v>
      </c>
      <c r="D204" t="s">
        <v>6</v>
      </c>
      <c r="E204" s="6">
        <v>500000</v>
      </c>
      <c r="F204" t="s">
        <v>143</v>
      </c>
    </row>
    <row r="205" spans="1:6" hidden="1">
      <c r="A205" t="s">
        <v>141</v>
      </c>
      <c r="B205">
        <v>956</v>
      </c>
      <c r="C205" t="str">
        <f>VLOOKUP(B205,számlarend!A:B,2,FALSE)</f>
        <v>Tagbetét befizetés</v>
      </c>
      <c r="D205" t="s">
        <v>8</v>
      </c>
      <c r="E205" s="6">
        <v>500000</v>
      </c>
      <c r="F205" t="s">
        <v>143</v>
      </c>
    </row>
    <row r="206" spans="1:6" hidden="1">
      <c r="A206" t="s">
        <v>141</v>
      </c>
      <c r="B206">
        <v>336</v>
      </c>
      <c r="C206" t="str">
        <f>VLOOKUP(B206,számlarend!A:B,2,FALSE)</f>
        <v>Tagbetét előírás</v>
      </c>
      <c r="D206" t="s">
        <v>6</v>
      </c>
      <c r="E206" s="6">
        <v>500000</v>
      </c>
      <c r="F206" t="s">
        <v>144</v>
      </c>
    </row>
    <row r="207" spans="1:6" hidden="1">
      <c r="A207" t="s">
        <v>141</v>
      </c>
      <c r="B207">
        <v>956</v>
      </c>
      <c r="C207" t="str">
        <f>VLOOKUP(B207,számlarend!A:B,2,FALSE)</f>
        <v>Tagbetét befizetés</v>
      </c>
      <c r="D207" t="s">
        <v>8</v>
      </c>
      <c r="E207" s="6">
        <v>500000</v>
      </c>
      <c r="F207" t="s">
        <v>144</v>
      </c>
    </row>
    <row r="208" spans="1:6" hidden="1">
      <c r="A208" t="s">
        <v>141</v>
      </c>
      <c r="B208">
        <v>336</v>
      </c>
      <c r="C208" t="str">
        <f>VLOOKUP(B208,számlarend!A:B,2,FALSE)</f>
        <v>Tagbetét előírás</v>
      </c>
      <c r="D208" t="s">
        <v>6</v>
      </c>
      <c r="E208" s="6">
        <v>500000</v>
      </c>
      <c r="F208" t="s">
        <v>145</v>
      </c>
    </row>
    <row r="209" spans="1:6" hidden="1">
      <c r="A209" t="s">
        <v>141</v>
      </c>
      <c r="B209">
        <v>956</v>
      </c>
      <c r="C209" t="str">
        <f>VLOOKUP(B209,számlarend!A:B,2,FALSE)</f>
        <v>Tagbetét befizetés</v>
      </c>
      <c r="D209" t="s">
        <v>8</v>
      </c>
      <c r="E209" s="6">
        <v>500000</v>
      </c>
      <c r="F209" t="s">
        <v>145</v>
      </c>
    </row>
    <row r="210" spans="1:6" hidden="1">
      <c r="A210" t="s">
        <v>141</v>
      </c>
      <c r="B210">
        <v>336</v>
      </c>
      <c r="C210" t="str">
        <f>VLOOKUP(B210,számlarend!A:B,2,FALSE)</f>
        <v>Tagbetét előírás</v>
      </c>
      <c r="D210" t="s">
        <v>6</v>
      </c>
      <c r="E210" s="6">
        <v>500000</v>
      </c>
      <c r="F210" t="s">
        <v>146</v>
      </c>
    </row>
    <row r="211" spans="1:6" hidden="1">
      <c r="A211" t="s">
        <v>141</v>
      </c>
      <c r="B211">
        <v>956</v>
      </c>
      <c r="C211" t="str">
        <f>VLOOKUP(B211,számlarend!A:B,2,FALSE)</f>
        <v>Tagbetét befizetés</v>
      </c>
      <c r="D211" t="s">
        <v>8</v>
      </c>
      <c r="E211" s="6">
        <v>500000</v>
      </c>
      <c r="F211" t="s">
        <v>146</v>
      </c>
    </row>
    <row r="212" spans="1:6" hidden="1">
      <c r="A212" t="s">
        <v>141</v>
      </c>
      <c r="B212">
        <v>336</v>
      </c>
      <c r="C212" t="str">
        <f>VLOOKUP(B212,számlarend!A:B,2,FALSE)</f>
        <v>Tagbetét előírás</v>
      </c>
      <c r="D212" t="s">
        <v>6</v>
      </c>
      <c r="E212" s="6">
        <v>500000</v>
      </c>
      <c r="F212" t="s">
        <v>147</v>
      </c>
    </row>
    <row r="213" spans="1:6" hidden="1">
      <c r="A213" t="s">
        <v>141</v>
      </c>
      <c r="B213">
        <v>956</v>
      </c>
      <c r="C213" t="str">
        <f>VLOOKUP(B213,számlarend!A:B,2,FALSE)</f>
        <v>Tagbetét befizetés</v>
      </c>
      <c r="D213" t="s">
        <v>8</v>
      </c>
      <c r="E213" s="6">
        <v>500000</v>
      </c>
      <c r="F213" t="s">
        <v>147</v>
      </c>
    </row>
    <row r="214" spans="1:6" hidden="1">
      <c r="A214" t="s">
        <v>141</v>
      </c>
      <c r="B214">
        <v>334</v>
      </c>
      <c r="C214" t="str">
        <f>VLOOKUP(B214,számlarend!A:B,2,FALSE)</f>
        <v>Egyéb előírás</v>
      </c>
      <c r="D214" t="s">
        <v>6</v>
      </c>
      <c r="E214" s="6">
        <v>112000</v>
      </c>
      <c r="F214" t="s">
        <v>148</v>
      </c>
    </row>
    <row r="215" spans="1:6" hidden="1">
      <c r="A215" t="s">
        <v>141</v>
      </c>
      <c r="B215">
        <v>335</v>
      </c>
      <c r="C215" t="str">
        <f>VLOOKUP(B215,számlarend!A:B,2,FALSE)</f>
        <v>Rendkivüli befizetés előírás</v>
      </c>
      <c r="D215" t="s">
        <v>6</v>
      </c>
      <c r="E215" s="6">
        <v>60000</v>
      </c>
      <c r="F215" t="s">
        <v>148</v>
      </c>
    </row>
    <row r="216" spans="1:6" hidden="1">
      <c r="A216" t="s">
        <v>141</v>
      </c>
      <c r="B216">
        <v>954</v>
      </c>
      <c r="C216" t="str">
        <f>VLOOKUP(B216,számlarend!A:B,2,FALSE)</f>
        <v>Egyéb befizetés</v>
      </c>
      <c r="D216" t="s">
        <v>8</v>
      </c>
      <c r="E216" s="6">
        <v>112000</v>
      </c>
      <c r="F216" t="s">
        <v>148</v>
      </c>
    </row>
    <row r="217" spans="1:6" hidden="1">
      <c r="A217" t="s">
        <v>141</v>
      </c>
      <c r="B217">
        <v>955</v>
      </c>
      <c r="C217" t="str">
        <f>VLOOKUP(B217,számlarend!A:B,2,FALSE)</f>
        <v>Rendkivüli befizetés</v>
      </c>
      <c r="D217" t="s">
        <v>8</v>
      </c>
      <c r="E217" s="6">
        <v>60000</v>
      </c>
      <c r="F217" t="s">
        <v>148</v>
      </c>
    </row>
    <row r="218" spans="1:6" hidden="1">
      <c r="A218" t="s">
        <v>141</v>
      </c>
      <c r="B218">
        <v>334</v>
      </c>
      <c r="C218" t="str">
        <f>VLOOKUP(B218,számlarend!A:B,2,FALSE)</f>
        <v>Egyéb előírás</v>
      </c>
      <c r="D218" t="s">
        <v>6</v>
      </c>
      <c r="E218" s="6">
        <v>112000</v>
      </c>
      <c r="F218" t="s">
        <v>149</v>
      </c>
    </row>
    <row r="219" spans="1:6" hidden="1">
      <c r="A219" t="s">
        <v>141</v>
      </c>
      <c r="B219">
        <v>335</v>
      </c>
      <c r="C219" t="str">
        <f>VLOOKUP(B219,számlarend!A:B,2,FALSE)</f>
        <v>Rendkivüli befizetés előírás</v>
      </c>
      <c r="D219" t="s">
        <v>6</v>
      </c>
      <c r="E219" s="6">
        <v>60000</v>
      </c>
      <c r="F219" t="s">
        <v>149</v>
      </c>
    </row>
    <row r="220" spans="1:6" hidden="1">
      <c r="A220" t="s">
        <v>141</v>
      </c>
      <c r="B220">
        <v>954</v>
      </c>
      <c r="C220" t="str">
        <f>VLOOKUP(B220,számlarend!A:B,2,FALSE)</f>
        <v>Egyéb befizetés</v>
      </c>
      <c r="D220" t="s">
        <v>8</v>
      </c>
      <c r="E220" s="6">
        <v>112000</v>
      </c>
      <c r="F220" t="s">
        <v>149</v>
      </c>
    </row>
    <row r="221" spans="1:6" hidden="1">
      <c r="A221" t="s">
        <v>141</v>
      </c>
      <c r="B221">
        <v>955</v>
      </c>
      <c r="C221" t="str">
        <f>VLOOKUP(B221,számlarend!A:B,2,FALSE)</f>
        <v>Rendkivüli befizetés</v>
      </c>
      <c r="D221" t="s">
        <v>8</v>
      </c>
      <c r="E221" s="6">
        <v>60000</v>
      </c>
      <c r="F221" t="s">
        <v>149</v>
      </c>
    </row>
    <row r="222" spans="1:6" hidden="1">
      <c r="A222" t="s">
        <v>141</v>
      </c>
      <c r="B222">
        <v>334</v>
      </c>
      <c r="C222" t="str">
        <f>VLOOKUP(B222,számlarend!A:B,2,FALSE)</f>
        <v>Egyéb előírás</v>
      </c>
      <c r="D222" t="s">
        <v>6</v>
      </c>
      <c r="E222" s="6">
        <v>112000</v>
      </c>
      <c r="F222" t="s">
        <v>150</v>
      </c>
    </row>
    <row r="223" spans="1:6" hidden="1">
      <c r="A223" t="s">
        <v>141</v>
      </c>
      <c r="B223">
        <v>335</v>
      </c>
      <c r="C223" t="str">
        <f>VLOOKUP(B223,számlarend!A:B,2,FALSE)</f>
        <v>Rendkivüli befizetés előírás</v>
      </c>
      <c r="D223" t="s">
        <v>6</v>
      </c>
      <c r="E223" s="6">
        <v>60000</v>
      </c>
      <c r="F223" t="s">
        <v>150</v>
      </c>
    </row>
    <row r="224" spans="1:6" hidden="1">
      <c r="A224" t="s">
        <v>141</v>
      </c>
      <c r="B224">
        <v>954</v>
      </c>
      <c r="C224" t="str">
        <f>VLOOKUP(B224,számlarend!A:B,2,FALSE)</f>
        <v>Egyéb befizetés</v>
      </c>
      <c r="D224" t="s">
        <v>8</v>
      </c>
      <c r="E224" s="6">
        <v>112000</v>
      </c>
      <c r="F224" t="s">
        <v>150</v>
      </c>
    </row>
    <row r="225" spans="1:6" hidden="1">
      <c r="A225" t="s">
        <v>141</v>
      </c>
      <c r="B225">
        <v>955</v>
      </c>
      <c r="C225" t="str">
        <f>VLOOKUP(B225,számlarend!A:B,2,FALSE)</f>
        <v>Rendkivüli befizetés</v>
      </c>
      <c r="D225" t="s">
        <v>8</v>
      </c>
      <c r="E225" s="6">
        <v>60000</v>
      </c>
      <c r="F225" t="s">
        <v>150</v>
      </c>
    </row>
    <row r="226" spans="1:6" hidden="1">
      <c r="A226" t="s">
        <v>141</v>
      </c>
      <c r="B226">
        <v>334</v>
      </c>
      <c r="C226" t="str">
        <f>VLOOKUP(B226,számlarend!A:B,2,FALSE)</f>
        <v>Egyéb előírás</v>
      </c>
      <c r="D226" t="s">
        <v>6</v>
      </c>
      <c r="E226" s="6">
        <v>112000</v>
      </c>
      <c r="F226" t="s">
        <v>151</v>
      </c>
    </row>
    <row r="227" spans="1:6" hidden="1">
      <c r="A227" t="s">
        <v>141</v>
      </c>
      <c r="B227">
        <v>335</v>
      </c>
      <c r="C227" t="str">
        <f>VLOOKUP(B227,számlarend!A:B,2,FALSE)</f>
        <v>Rendkivüli befizetés előírás</v>
      </c>
      <c r="D227" t="s">
        <v>6</v>
      </c>
      <c r="E227" s="6">
        <v>60000</v>
      </c>
      <c r="F227" t="s">
        <v>151</v>
      </c>
    </row>
    <row r="228" spans="1:6" hidden="1">
      <c r="A228" t="s">
        <v>141</v>
      </c>
      <c r="B228">
        <v>954</v>
      </c>
      <c r="C228" t="str">
        <f>VLOOKUP(B228,számlarend!A:B,2,FALSE)</f>
        <v>Egyéb befizetés</v>
      </c>
      <c r="D228" t="s">
        <v>8</v>
      </c>
      <c r="E228" s="6">
        <v>112000</v>
      </c>
      <c r="F228" t="s">
        <v>151</v>
      </c>
    </row>
    <row r="229" spans="1:6" hidden="1">
      <c r="A229" t="s">
        <v>141</v>
      </c>
      <c r="B229">
        <v>955</v>
      </c>
      <c r="C229" t="str">
        <f>VLOOKUP(B229,számlarend!A:B,2,FALSE)</f>
        <v>Rendkivüli befizetés</v>
      </c>
      <c r="D229" t="s">
        <v>8</v>
      </c>
      <c r="E229" s="6">
        <v>60000</v>
      </c>
      <c r="F229" t="s">
        <v>151</v>
      </c>
    </row>
    <row r="230" spans="1:6" hidden="1">
      <c r="A230" t="s">
        <v>141</v>
      </c>
      <c r="B230">
        <v>335</v>
      </c>
      <c r="C230" t="str">
        <f>VLOOKUP(B230,számlarend!A:B,2,FALSE)</f>
        <v>Rendkivüli befizetés előírás</v>
      </c>
      <c r="D230" t="s">
        <v>6</v>
      </c>
      <c r="E230" s="6">
        <v>60000</v>
      </c>
      <c r="F230" t="s">
        <v>152</v>
      </c>
    </row>
    <row r="231" spans="1:6" hidden="1">
      <c r="A231" t="s">
        <v>141</v>
      </c>
      <c r="B231">
        <v>955</v>
      </c>
      <c r="C231" t="str">
        <f>VLOOKUP(B231,számlarend!A:B,2,FALSE)</f>
        <v>Rendkivüli befizetés</v>
      </c>
      <c r="D231" t="s">
        <v>8</v>
      </c>
      <c r="E231" s="6">
        <v>60000</v>
      </c>
      <c r="F231" t="s">
        <v>152</v>
      </c>
    </row>
    <row r="232" spans="1:6" hidden="1">
      <c r="A232" t="s">
        <v>141</v>
      </c>
      <c r="B232">
        <v>335</v>
      </c>
      <c r="C232" t="str">
        <f>VLOOKUP(B232,számlarend!A:B,2,FALSE)</f>
        <v>Rendkivüli befizetés előírás</v>
      </c>
      <c r="D232" t="s">
        <v>6</v>
      </c>
      <c r="E232" s="6">
        <v>60000</v>
      </c>
      <c r="F232" t="s">
        <v>153</v>
      </c>
    </row>
    <row r="233" spans="1:6" hidden="1">
      <c r="A233" t="s">
        <v>141</v>
      </c>
      <c r="B233">
        <v>334</v>
      </c>
      <c r="C233" t="str">
        <f>VLOOKUP(B233,számlarend!A:B,2,FALSE)</f>
        <v>Egyéb előírás</v>
      </c>
      <c r="D233" t="s">
        <v>6</v>
      </c>
      <c r="E233" s="6">
        <v>112000</v>
      </c>
      <c r="F233" t="s">
        <v>153</v>
      </c>
    </row>
    <row r="234" spans="1:6" hidden="1">
      <c r="A234" t="s">
        <v>141</v>
      </c>
      <c r="B234">
        <v>955</v>
      </c>
      <c r="C234" t="str">
        <f>VLOOKUP(B234,számlarend!A:B,2,FALSE)</f>
        <v>Rendkivüli befizetés</v>
      </c>
      <c r="D234" t="s">
        <v>8</v>
      </c>
      <c r="E234" s="6">
        <v>60000</v>
      </c>
      <c r="F234" t="s">
        <v>153</v>
      </c>
    </row>
    <row r="235" spans="1:6" hidden="1">
      <c r="A235" t="s">
        <v>141</v>
      </c>
      <c r="B235">
        <v>954</v>
      </c>
      <c r="C235" t="str">
        <f>VLOOKUP(B235,számlarend!A:B,2,FALSE)</f>
        <v>Egyéb befizetés</v>
      </c>
      <c r="D235" t="s">
        <v>8</v>
      </c>
      <c r="E235" s="6">
        <v>112000</v>
      </c>
      <c r="F235" t="s">
        <v>153</v>
      </c>
    </row>
    <row r="236" spans="1:6" hidden="1">
      <c r="A236" t="s">
        <v>154</v>
      </c>
      <c r="B236">
        <v>3811</v>
      </c>
      <c r="C236" t="str">
        <f>VLOOKUP(B236,számlarend!A:B,2,FALSE)</f>
        <v>Pál pénztár zsebe</v>
      </c>
      <c r="D236" t="s">
        <v>6</v>
      </c>
      <c r="E236" s="6">
        <v>395000</v>
      </c>
      <c r="F236" t="s">
        <v>155</v>
      </c>
    </row>
    <row r="237" spans="1:6" hidden="1">
      <c r="A237" t="s">
        <v>154</v>
      </c>
      <c r="B237">
        <v>956</v>
      </c>
      <c r="C237" t="str">
        <f>VLOOKUP(B237,számlarend!A:B,2,FALSE)</f>
        <v>Tagbetét befizetés</v>
      </c>
      <c r="D237" t="s">
        <v>6</v>
      </c>
      <c r="E237" s="6">
        <v>395000</v>
      </c>
      <c r="F237" t="s">
        <v>155</v>
      </c>
    </row>
    <row r="238" spans="1:6" hidden="1">
      <c r="A238" t="s">
        <v>154</v>
      </c>
      <c r="B238">
        <v>956</v>
      </c>
      <c r="C238" t="str">
        <f>VLOOKUP(B238,számlarend!A:B,2,FALSE)</f>
        <v>Tagbetét befizetés</v>
      </c>
      <c r="D238" t="s">
        <v>8</v>
      </c>
      <c r="E238" s="6">
        <v>395000</v>
      </c>
      <c r="F238" t="s">
        <v>155</v>
      </c>
    </row>
    <row r="239" spans="1:6" hidden="1">
      <c r="A239" t="s">
        <v>154</v>
      </c>
      <c r="B239">
        <v>336</v>
      </c>
      <c r="C239" t="str">
        <f>VLOOKUP(B239,számlarend!A:B,2,FALSE)</f>
        <v>Tagbetét előírás</v>
      </c>
      <c r="D239" t="s">
        <v>8</v>
      </c>
      <c r="E239" s="6">
        <v>395000</v>
      </c>
      <c r="F239" t="s">
        <v>155</v>
      </c>
    </row>
    <row r="240" spans="1:6" hidden="1">
      <c r="A240" t="s">
        <v>154</v>
      </c>
      <c r="B240">
        <v>3811</v>
      </c>
      <c r="C240" t="str">
        <f>VLOOKUP(B240,számlarend!A:B,2,FALSE)</f>
        <v>Pál pénztár zsebe</v>
      </c>
      <c r="D240" t="s">
        <v>6</v>
      </c>
      <c r="E240" s="6">
        <v>500000</v>
      </c>
      <c r="F240" t="s">
        <v>156</v>
      </c>
    </row>
    <row r="241" spans="1:6" hidden="1">
      <c r="A241" t="s">
        <v>154</v>
      </c>
      <c r="B241">
        <v>956</v>
      </c>
      <c r="C241" t="str">
        <f>VLOOKUP(B241,számlarend!A:B,2,FALSE)</f>
        <v>Tagbetét befizetés</v>
      </c>
      <c r="D241" t="s">
        <v>6</v>
      </c>
      <c r="E241" s="6">
        <v>500000</v>
      </c>
      <c r="F241" t="s">
        <v>156</v>
      </c>
    </row>
    <row r="242" spans="1:6" hidden="1">
      <c r="A242" t="s">
        <v>154</v>
      </c>
      <c r="B242">
        <v>956</v>
      </c>
      <c r="C242" t="str">
        <f>VLOOKUP(B242,számlarend!A:B,2,FALSE)</f>
        <v>Tagbetét befizetés</v>
      </c>
      <c r="D242" t="s">
        <v>8</v>
      </c>
      <c r="E242" s="6">
        <v>500000</v>
      </c>
      <c r="F242" t="s">
        <v>156</v>
      </c>
    </row>
    <row r="243" spans="1:6" hidden="1">
      <c r="A243" t="s">
        <v>154</v>
      </c>
      <c r="B243">
        <v>336</v>
      </c>
      <c r="C243" t="str">
        <f>VLOOKUP(B243,számlarend!A:B,2,FALSE)</f>
        <v>Tagbetét előírás</v>
      </c>
      <c r="D243" t="s">
        <v>8</v>
      </c>
      <c r="E243" s="6">
        <v>500000</v>
      </c>
      <c r="F243" t="s">
        <v>156</v>
      </c>
    </row>
    <row r="244" spans="1:6" hidden="1">
      <c r="A244" t="s">
        <v>154</v>
      </c>
      <c r="B244">
        <v>3811</v>
      </c>
      <c r="C244" t="str">
        <f>VLOOKUP(B244,számlarend!A:B,2,FALSE)</f>
        <v>Pál pénztár zsebe</v>
      </c>
      <c r="D244" t="s">
        <v>6</v>
      </c>
      <c r="E244" s="6">
        <v>245000</v>
      </c>
      <c r="F244" t="s">
        <v>157</v>
      </c>
    </row>
    <row r="245" spans="1:6" hidden="1">
      <c r="A245" t="s">
        <v>154</v>
      </c>
      <c r="B245">
        <v>956</v>
      </c>
      <c r="C245" t="str">
        <f>VLOOKUP(B245,számlarend!A:B,2,FALSE)</f>
        <v>Tagbetét befizetés</v>
      </c>
      <c r="D245" t="s">
        <v>6</v>
      </c>
      <c r="E245" s="6">
        <v>245000</v>
      </c>
      <c r="F245" t="s">
        <v>157</v>
      </c>
    </row>
    <row r="246" spans="1:6" hidden="1">
      <c r="A246" t="s">
        <v>154</v>
      </c>
      <c r="B246">
        <v>956</v>
      </c>
      <c r="C246" t="str">
        <f>VLOOKUP(B246,számlarend!A:B,2,FALSE)</f>
        <v>Tagbetét befizetés</v>
      </c>
      <c r="D246" t="s">
        <v>8</v>
      </c>
      <c r="E246" s="6">
        <v>245000</v>
      </c>
      <c r="F246" t="s">
        <v>157</v>
      </c>
    </row>
    <row r="247" spans="1:6" hidden="1">
      <c r="A247" t="s">
        <v>154</v>
      </c>
      <c r="B247">
        <v>336</v>
      </c>
      <c r="C247" t="str">
        <f>VLOOKUP(B247,számlarend!A:B,2,FALSE)</f>
        <v>Tagbetét előírás</v>
      </c>
      <c r="D247" t="s">
        <v>8</v>
      </c>
      <c r="E247" s="6">
        <v>245000</v>
      </c>
      <c r="F247" t="s">
        <v>157</v>
      </c>
    </row>
    <row r="248" spans="1:6" hidden="1">
      <c r="A248" t="s">
        <v>154</v>
      </c>
      <c r="B248">
        <v>3811</v>
      </c>
      <c r="C248" t="str">
        <f>VLOOKUP(B248,számlarend!A:B,2,FALSE)</f>
        <v>Pál pénztár zsebe</v>
      </c>
      <c r="D248" t="s">
        <v>6</v>
      </c>
      <c r="E248" s="6">
        <v>500000</v>
      </c>
      <c r="F248" t="s">
        <v>158</v>
      </c>
    </row>
    <row r="249" spans="1:6" hidden="1">
      <c r="A249" t="s">
        <v>154</v>
      </c>
      <c r="B249">
        <v>956</v>
      </c>
      <c r="C249" t="str">
        <f>VLOOKUP(B249,számlarend!A:B,2,FALSE)</f>
        <v>Tagbetét befizetés</v>
      </c>
      <c r="D249" t="s">
        <v>6</v>
      </c>
      <c r="E249" s="6">
        <v>500000</v>
      </c>
      <c r="F249" t="s">
        <v>158</v>
      </c>
    </row>
    <row r="250" spans="1:6" hidden="1">
      <c r="A250" t="s">
        <v>154</v>
      </c>
      <c r="B250">
        <v>956</v>
      </c>
      <c r="C250" t="str">
        <f>VLOOKUP(B250,számlarend!A:B,2,FALSE)</f>
        <v>Tagbetét befizetés</v>
      </c>
      <c r="D250" t="s">
        <v>8</v>
      </c>
      <c r="E250" s="6">
        <v>500000</v>
      </c>
      <c r="F250" t="s">
        <v>158</v>
      </c>
    </row>
    <row r="251" spans="1:6" hidden="1">
      <c r="A251" t="s">
        <v>154</v>
      </c>
      <c r="B251">
        <v>336</v>
      </c>
      <c r="C251" t="str">
        <f>VLOOKUP(B251,számlarend!A:B,2,FALSE)</f>
        <v>Tagbetét előírás</v>
      </c>
      <c r="D251" t="s">
        <v>8</v>
      </c>
      <c r="E251" s="6">
        <v>500000</v>
      </c>
      <c r="F251" t="s">
        <v>158</v>
      </c>
    </row>
    <row r="252" spans="1:6" hidden="1">
      <c r="A252" t="s">
        <v>154</v>
      </c>
      <c r="B252">
        <v>3811</v>
      </c>
      <c r="C252" t="str">
        <f>VLOOKUP(B252,számlarend!A:B,2,FALSE)</f>
        <v>Pál pénztár zsebe</v>
      </c>
      <c r="D252" t="s">
        <v>6</v>
      </c>
      <c r="E252" s="6">
        <v>500000</v>
      </c>
      <c r="F252" t="s">
        <v>159</v>
      </c>
    </row>
    <row r="253" spans="1:6" hidden="1">
      <c r="A253" t="s">
        <v>154</v>
      </c>
      <c r="B253">
        <v>956</v>
      </c>
      <c r="C253" t="str">
        <f>VLOOKUP(B253,számlarend!A:B,2,FALSE)</f>
        <v>Tagbetét befizetés</v>
      </c>
      <c r="D253" t="s">
        <v>6</v>
      </c>
      <c r="E253" s="6">
        <v>500000</v>
      </c>
      <c r="F253" t="s">
        <v>159</v>
      </c>
    </row>
    <row r="254" spans="1:6" hidden="1">
      <c r="A254" t="s">
        <v>154</v>
      </c>
      <c r="B254">
        <v>956</v>
      </c>
      <c r="C254" t="str">
        <f>VLOOKUP(B254,számlarend!A:B,2,FALSE)</f>
        <v>Tagbetét befizetés</v>
      </c>
      <c r="D254" t="s">
        <v>8</v>
      </c>
      <c r="E254" s="6">
        <v>500000</v>
      </c>
      <c r="F254" t="s">
        <v>159</v>
      </c>
    </row>
    <row r="255" spans="1:6" hidden="1">
      <c r="A255" t="s">
        <v>154</v>
      </c>
      <c r="B255">
        <v>336</v>
      </c>
      <c r="C255" t="str">
        <f>VLOOKUP(B255,számlarend!A:B,2,FALSE)</f>
        <v>Tagbetét előírás</v>
      </c>
      <c r="D255" t="s">
        <v>8</v>
      </c>
      <c r="E255" s="6">
        <v>500000</v>
      </c>
      <c r="F255" t="s">
        <v>159</v>
      </c>
    </row>
    <row r="256" spans="1:6" hidden="1">
      <c r="A256" t="s">
        <v>154</v>
      </c>
      <c r="B256">
        <v>3811</v>
      </c>
      <c r="C256" t="str">
        <f>VLOOKUP(B256,számlarend!A:B,2,FALSE)</f>
        <v>Pál pénztár zsebe</v>
      </c>
      <c r="D256" t="s">
        <v>6</v>
      </c>
      <c r="E256" s="6">
        <v>172000</v>
      </c>
      <c r="F256" t="s">
        <v>160</v>
      </c>
    </row>
    <row r="257" spans="1:6" hidden="1">
      <c r="A257" t="s">
        <v>154</v>
      </c>
      <c r="B257">
        <v>955</v>
      </c>
      <c r="C257" t="str">
        <f>VLOOKUP(B257,számlarend!A:B,2,FALSE)</f>
        <v>Rendkivüli befizetés</v>
      </c>
      <c r="D257" t="s">
        <v>6</v>
      </c>
      <c r="E257" s="6">
        <v>60000</v>
      </c>
      <c r="F257" t="s">
        <v>160</v>
      </c>
    </row>
    <row r="258" spans="1:6" hidden="1">
      <c r="A258" t="s">
        <v>154</v>
      </c>
      <c r="B258">
        <v>954</v>
      </c>
      <c r="C258" t="str">
        <f>VLOOKUP(B258,számlarend!A:B,2,FALSE)</f>
        <v>Egyéb befizetés</v>
      </c>
      <c r="D258" t="s">
        <v>6</v>
      </c>
      <c r="E258" s="6">
        <v>112000</v>
      </c>
      <c r="F258" t="s">
        <v>160</v>
      </c>
    </row>
    <row r="259" spans="1:6" hidden="1">
      <c r="A259" t="s">
        <v>154</v>
      </c>
      <c r="B259">
        <v>955</v>
      </c>
      <c r="C259" t="str">
        <f>VLOOKUP(B259,számlarend!A:B,2,FALSE)</f>
        <v>Rendkivüli befizetés</v>
      </c>
      <c r="D259" t="s">
        <v>8</v>
      </c>
      <c r="E259" s="6">
        <v>60000</v>
      </c>
      <c r="F259" t="s">
        <v>160</v>
      </c>
    </row>
    <row r="260" spans="1:6" hidden="1">
      <c r="A260" t="s">
        <v>154</v>
      </c>
      <c r="B260">
        <v>335</v>
      </c>
      <c r="C260" t="str">
        <f>VLOOKUP(B260,számlarend!A:B,2,FALSE)</f>
        <v>Rendkivüli befizetés előírás</v>
      </c>
      <c r="D260" t="s">
        <v>8</v>
      </c>
      <c r="E260" s="6">
        <v>60000</v>
      </c>
      <c r="F260" t="s">
        <v>160</v>
      </c>
    </row>
    <row r="261" spans="1:6" hidden="1">
      <c r="A261" t="s">
        <v>154</v>
      </c>
      <c r="B261">
        <v>954</v>
      </c>
      <c r="C261" t="str">
        <f>VLOOKUP(B261,számlarend!A:B,2,FALSE)</f>
        <v>Egyéb befizetés</v>
      </c>
      <c r="D261" t="s">
        <v>8</v>
      </c>
      <c r="E261" s="6">
        <v>112000</v>
      </c>
      <c r="F261" t="s">
        <v>160</v>
      </c>
    </row>
    <row r="262" spans="1:6" hidden="1">
      <c r="A262" t="s">
        <v>154</v>
      </c>
      <c r="B262">
        <v>334</v>
      </c>
      <c r="C262" t="str">
        <f>VLOOKUP(B262,számlarend!A:B,2,FALSE)</f>
        <v>Egyéb előírás</v>
      </c>
      <c r="D262" t="s">
        <v>8</v>
      </c>
      <c r="E262" s="6">
        <v>112000</v>
      </c>
      <c r="F262" t="s">
        <v>160</v>
      </c>
    </row>
    <row r="263" spans="1:6">
      <c r="A263" t="s">
        <v>154</v>
      </c>
      <c r="B263">
        <v>3811</v>
      </c>
      <c r="C263" t="str">
        <f>VLOOKUP(B263,számlarend!A:B,2,FALSE)</f>
        <v>Pál pénztár zsebe</v>
      </c>
      <c r="D263" t="s">
        <v>6</v>
      </c>
      <c r="E263" s="6">
        <v>172000</v>
      </c>
      <c r="F263" t="s">
        <v>161</v>
      </c>
    </row>
    <row r="264" spans="1:6">
      <c r="A264" t="s">
        <v>154</v>
      </c>
      <c r="B264" s="1">
        <v>954</v>
      </c>
      <c r="C264" s="1" t="str">
        <f>VLOOKUP(B264,számlarend!A:B,2,FALSE)</f>
        <v>Egyéb befizetés</v>
      </c>
      <c r="D264" t="s">
        <v>6</v>
      </c>
      <c r="E264" s="6">
        <v>112000</v>
      </c>
      <c r="F264" t="s">
        <v>161</v>
      </c>
    </row>
    <row r="265" spans="1:6">
      <c r="A265" t="s">
        <v>154</v>
      </c>
      <c r="B265" s="1">
        <v>955</v>
      </c>
      <c r="C265" s="1" t="str">
        <f>VLOOKUP(B265,számlarend!A:B,2,FALSE)</f>
        <v>Rendkivüli befizetés</v>
      </c>
      <c r="D265" t="s">
        <v>6</v>
      </c>
      <c r="E265" s="6">
        <v>60000</v>
      </c>
      <c r="F265" t="s">
        <v>161</v>
      </c>
    </row>
    <row r="266" spans="1:6">
      <c r="A266" t="s">
        <v>154</v>
      </c>
      <c r="B266" s="1">
        <v>954</v>
      </c>
      <c r="C266" s="1" t="str">
        <f>VLOOKUP(B266,számlarend!A:B,2,FALSE)</f>
        <v>Egyéb befizetés</v>
      </c>
      <c r="D266" t="s">
        <v>8</v>
      </c>
      <c r="E266" s="6">
        <v>112000</v>
      </c>
      <c r="F266" t="s">
        <v>161</v>
      </c>
    </row>
    <row r="267" spans="1:6">
      <c r="A267" t="s">
        <v>154</v>
      </c>
      <c r="B267">
        <v>334</v>
      </c>
      <c r="C267" t="str">
        <f>VLOOKUP(B267,számlarend!A:B,2,FALSE)</f>
        <v>Egyéb előírás</v>
      </c>
      <c r="D267" t="s">
        <v>8</v>
      </c>
      <c r="E267" s="6">
        <v>112000</v>
      </c>
      <c r="F267" t="s">
        <v>161</v>
      </c>
    </row>
    <row r="268" spans="1:6">
      <c r="A268" t="s">
        <v>154</v>
      </c>
      <c r="B268" s="1">
        <v>955</v>
      </c>
      <c r="C268" s="1" t="str">
        <f>VLOOKUP(B268,számlarend!A:B,2,FALSE)</f>
        <v>Rendkivüli befizetés</v>
      </c>
      <c r="D268" t="s">
        <v>8</v>
      </c>
      <c r="E268" s="6">
        <v>60000</v>
      </c>
      <c r="F268" t="s">
        <v>161</v>
      </c>
    </row>
    <row r="269" spans="1:6">
      <c r="A269" t="s">
        <v>154</v>
      </c>
      <c r="B269">
        <v>335</v>
      </c>
      <c r="C269" t="str">
        <f>VLOOKUP(B269,számlarend!A:B,2,FALSE)</f>
        <v>Rendkivüli befizetés előírás</v>
      </c>
      <c r="D269" t="s">
        <v>8</v>
      </c>
      <c r="E269" s="6">
        <v>60000</v>
      </c>
      <c r="F269" t="s">
        <v>161</v>
      </c>
    </row>
    <row r="270" spans="1:6" hidden="1">
      <c r="A270" t="s">
        <v>154</v>
      </c>
      <c r="B270">
        <v>3811</v>
      </c>
      <c r="C270" t="str">
        <f>VLOOKUP(B270,számlarend!A:B,2,FALSE)</f>
        <v>Pál pénztár zsebe</v>
      </c>
      <c r="D270" t="s">
        <v>6</v>
      </c>
      <c r="E270" s="6">
        <v>172000</v>
      </c>
      <c r="F270" t="s">
        <v>162</v>
      </c>
    </row>
    <row r="271" spans="1:6" hidden="1">
      <c r="A271" t="s">
        <v>154</v>
      </c>
      <c r="B271">
        <v>954</v>
      </c>
      <c r="C271" t="str">
        <f>VLOOKUP(B271,számlarend!A:B,2,FALSE)</f>
        <v>Egyéb befizetés</v>
      </c>
      <c r="D271" t="s">
        <v>6</v>
      </c>
      <c r="E271" s="6">
        <v>112000</v>
      </c>
      <c r="F271" t="s">
        <v>162</v>
      </c>
    </row>
    <row r="272" spans="1:6" hidden="1">
      <c r="A272" t="s">
        <v>154</v>
      </c>
      <c r="B272">
        <v>955</v>
      </c>
      <c r="C272" t="str">
        <f>VLOOKUP(B272,számlarend!A:B,2,FALSE)</f>
        <v>Rendkivüli befizetés</v>
      </c>
      <c r="D272" t="s">
        <v>6</v>
      </c>
      <c r="E272" s="6">
        <v>60000</v>
      </c>
      <c r="F272" t="s">
        <v>162</v>
      </c>
    </row>
    <row r="273" spans="1:6" hidden="1">
      <c r="A273" t="s">
        <v>154</v>
      </c>
      <c r="B273">
        <v>954</v>
      </c>
      <c r="C273" t="str">
        <f>VLOOKUP(B273,számlarend!A:B,2,FALSE)</f>
        <v>Egyéb befizetés</v>
      </c>
      <c r="D273" t="s">
        <v>8</v>
      </c>
      <c r="E273" s="6">
        <v>112000</v>
      </c>
      <c r="F273" t="s">
        <v>162</v>
      </c>
    </row>
    <row r="274" spans="1:6" hidden="1">
      <c r="A274" t="s">
        <v>154</v>
      </c>
      <c r="B274">
        <v>334</v>
      </c>
      <c r="C274" t="str">
        <f>VLOOKUP(B274,számlarend!A:B,2,FALSE)</f>
        <v>Egyéb előírás</v>
      </c>
      <c r="D274" t="s">
        <v>8</v>
      </c>
      <c r="E274" s="6">
        <v>112000</v>
      </c>
      <c r="F274" t="s">
        <v>162</v>
      </c>
    </row>
    <row r="275" spans="1:6" hidden="1">
      <c r="A275" t="s">
        <v>154</v>
      </c>
      <c r="B275">
        <v>955</v>
      </c>
      <c r="C275" t="str">
        <f>VLOOKUP(B275,számlarend!A:B,2,FALSE)</f>
        <v>Rendkivüli befizetés</v>
      </c>
      <c r="D275" t="s">
        <v>8</v>
      </c>
      <c r="E275" s="6">
        <v>60000</v>
      </c>
      <c r="F275" t="s">
        <v>162</v>
      </c>
    </row>
    <row r="276" spans="1:6" hidden="1">
      <c r="A276" t="s">
        <v>154</v>
      </c>
      <c r="B276">
        <v>335</v>
      </c>
      <c r="C276" t="str">
        <f>VLOOKUP(B276,számlarend!A:B,2,FALSE)</f>
        <v>Rendkivüli befizetés előírás</v>
      </c>
      <c r="D276" t="s">
        <v>8</v>
      </c>
      <c r="E276" s="6">
        <v>60000</v>
      </c>
      <c r="F276" t="s">
        <v>162</v>
      </c>
    </row>
    <row r="277" spans="1:6" hidden="1">
      <c r="A277" t="s">
        <v>154</v>
      </c>
      <c r="B277">
        <v>3811</v>
      </c>
      <c r="C277" t="str">
        <f>VLOOKUP(B277,számlarend!A:B,2,FALSE)</f>
        <v>Pál pénztár zsebe</v>
      </c>
      <c r="D277" t="s">
        <v>6</v>
      </c>
      <c r="E277" s="6">
        <v>172000</v>
      </c>
      <c r="F277" t="s">
        <v>163</v>
      </c>
    </row>
    <row r="278" spans="1:6" hidden="1">
      <c r="A278" t="s">
        <v>154</v>
      </c>
      <c r="B278">
        <v>954</v>
      </c>
      <c r="C278" t="str">
        <f>VLOOKUP(B278,számlarend!A:B,2,FALSE)</f>
        <v>Egyéb befizetés</v>
      </c>
      <c r="D278" t="s">
        <v>6</v>
      </c>
      <c r="E278" s="6">
        <v>112000</v>
      </c>
      <c r="F278" t="s">
        <v>163</v>
      </c>
    </row>
    <row r="279" spans="1:6" hidden="1">
      <c r="A279" t="s">
        <v>154</v>
      </c>
      <c r="B279">
        <v>955</v>
      </c>
      <c r="C279" t="str">
        <f>VLOOKUP(B279,számlarend!A:B,2,FALSE)</f>
        <v>Rendkivüli befizetés</v>
      </c>
      <c r="D279" t="s">
        <v>6</v>
      </c>
      <c r="E279" s="6">
        <v>60000</v>
      </c>
      <c r="F279" t="s">
        <v>163</v>
      </c>
    </row>
    <row r="280" spans="1:6" hidden="1">
      <c r="A280" t="s">
        <v>154</v>
      </c>
      <c r="B280">
        <v>954</v>
      </c>
      <c r="C280" t="str">
        <f>VLOOKUP(B280,számlarend!A:B,2,FALSE)</f>
        <v>Egyéb befizetés</v>
      </c>
      <c r="D280" t="s">
        <v>8</v>
      </c>
      <c r="E280" s="6">
        <v>112000</v>
      </c>
      <c r="F280" t="s">
        <v>163</v>
      </c>
    </row>
    <row r="281" spans="1:6" hidden="1">
      <c r="A281" t="s">
        <v>154</v>
      </c>
      <c r="B281">
        <v>334</v>
      </c>
      <c r="C281" t="str">
        <f>VLOOKUP(B281,számlarend!A:B,2,FALSE)</f>
        <v>Egyéb előírás</v>
      </c>
      <c r="D281" t="s">
        <v>8</v>
      </c>
      <c r="E281" s="6">
        <v>112000</v>
      </c>
      <c r="F281" t="s">
        <v>163</v>
      </c>
    </row>
    <row r="282" spans="1:6" hidden="1">
      <c r="A282" t="s">
        <v>154</v>
      </c>
      <c r="B282">
        <v>955</v>
      </c>
      <c r="C282" t="str">
        <f>VLOOKUP(B282,számlarend!A:B,2,FALSE)</f>
        <v>Rendkivüli befizetés</v>
      </c>
      <c r="D282" t="s">
        <v>8</v>
      </c>
      <c r="E282" s="6">
        <v>60000</v>
      </c>
      <c r="F282" t="s">
        <v>163</v>
      </c>
    </row>
    <row r="283" spans="1:6" hidden="1">
      <c r="A283" t="s">
        <v>154</v>
      </c>
      <c r="B283">
        <v>335</v>
      </c>
      <c r="C283" t="str">
        <f>VLOOKUP(B283,számlarend!A:B,2,FALSE)</f>
        <v>Rendkivüli befizetés előírás</v>
      </c>
      <c r="D283" t="s">
        <v>8</v>
      </c>
      <c r="E283" s="6">
        <v>60000</v>
      </c>
      <c r="F283" t="s">
        <v>163</v>
      </c>
    </row>
    <row r="284" spans="1:6" hidden="1">
      <c r="A284" t="s">
        <v>154</v>
      </c>
      <c r="B284">
        <v>3811</v>
      </c>
      <c r="C284" t="str">
        <f>VLOOKUP(B284,számlarend!A:B,2,FALSE)</f>
        <v>Pál pénztár zsebe</v>
      </c>
      <c r="D284" t="s">
        <v>6</v>
      </c>
      <c r="E284" s="6">
        <v>112000</v>
      </c>
      <c r="F284" t="s">
        <v>164</v>
      </c>
    </row>
    <row r="285" spans="1:6" hidden="1">
      <c r="A285" t="s">
        <v>154</v>
      </c>
      <c r="B285">
        <v>954</v>
      </c>
      <c r="C285" t="str">
        <f>VLOOKUP(B285,számlarend!A:B,2,FALSE)</f>
        <v>Egyéb befizetés</v>
      </c>
      <c r="D285" t="s">
        <v>6</v>
      </c>
      <c r="E285" s="6">
        <v>112000</v>
      </c>
      <c r="F285" t="s">
        <v>164</v>
      </c>
    </row>
    <row r="286" spans="1:6" hidden="1">
      <c r="A286" t="s">
        <v>154</v>
      </c>
      <c r="B286">
        <v>954</v>
      </c>
      <c r="C286" t="str">
        <f>VLOOKUP(B286,számlarend!A:B,2,FALSE)</f>
        <v>Egyéb befizetés</v>
      </c>
      <c r="D286" t="s">
        <v>8</v>
      </c>
      <c r="E286" s="6">
        <v>112000</v>
      </c>
      <c r="F286" t="s">
        <v>164</v>
      </c>
    </row>
    <row r="287" spans="1:6" hidden="1">
      <c r="A287" t="s">
        <v>154</v>
      </c>
      <c r="B287">
        <v>334</v>
      </c>
      <c r="C287" t="str">
        <f>VLOOKUP(B287,számlarend!A:B,2,FALSE)</f>
        <v>Egyéb előírás</v>
      </c>
      <c r="D287" t="s">
        <v>8</v>
      </c>
      <c r="E287" s="6">
        <v>112000</v>
      </c>
      <c r="F287" t="s">
        <v>164</v>
      </c>
    </row>
    <row r="288" spans="1:6" hidden="1">
      <c r="A288" t="s">
        <v>154</v>
      </c>
      <c r="B288">
        <v>3811</v>
      </c>
      <c r="C288" t="str">
        <f>VLOOKUP(B288,számlarend!A:B,2,FALSE)</f>
        <v>Pál pénztár zsebe</v>
      </c>
      <c r="D288" t="s">
        <v>6</v>
      </c>
      <c r="E288" s="6">
        <v>60000</v>
      </c>
      <c r="F288" t="s">
        <v>165</v>
      </c>
    </row>
    <row r="289" spans="1:6" hidden="1">
      <c r="A289" t="s">
        <v>154</v>
      </c>
      <c r="B289">
        <v>955</v>
      </c>
      <c r="C289" t="str">
        <f>VLOOKUP(B289,számlarend!A:B,2,FALSE)</f>
        <v>Rendkivüli befizetés</v>
      </c>
      <c r="D289" t="s">
        <v>6</v>
      </c>
      <c r="E289" s="6">
        <v>60000</v>
      </c>
      <c r="F289" t="s">
        <v>165</v>
      </c>
    </row>
    <row r="290" spans="1:6" hidden="1">
      <c r="A290" t="s">
        <v>154</v>
      </c>
      <c r="B290">
        <v>955</v>
      </c>
      <c r="C290" t="str">
        <f>VLOOKUP(B290,számlarend!A:B,2,FALSE)</f>
        <v>Rendkivüli befizetés</v>
      </c>
      <c r="D290" t="s">
        <v>8</v>
      </c>
      <c r="E290" s="6">
        <v>60000</v>
      </c>
      <c r="F290" t="s">
        <v>165</v>
      </c>
    </row>
    <row r="291" spans="1:6" hidden="1">
      <c r="A291" t="s">
        <v>154</v>
      </c>
      <c r="B291">
        <v>335</v>
      </c>
      <c r="C291" t="str">
        <f>VLOOKUP(B291,számlarend!A:B,2,FALSE)</f>
        <v>Rendkivüli befizetés előírás</v>
      </c>
      <c r="D291" t="s">
        <v>8</v>
      </c>
      <c r="E291" s="6">
        <v>60000</v>
      </c>
      <c r="F291" t="s">
        <v>165</v>
      </c>
    </row>
    <row r="292" spans="1:6" hidden="1">
      <c r="A292" t="s">
        <v>166</v>
      </c>
      <c r="B292">
        <v>5304</v>
      </c>
      <c r="C292" t="str">
        <f>VLOOKUP(B292,számlarend!A:B,2,FALSE)</f>
        <v>Jogi költségek</v>
      </c>
      <c r="D292" t="s">
        <v>6</v>
      </c>
      <c r="E292" s="6">
        <v>250000</v>
      </c>
      <c r="F292" t="s">
        <v>167</v>
      </c>
    </row>
    <row r="293" spans="1:6" hidden="1">
      <c r="A293" t="s">
        <v>166</v>
      </c>
      <c r="B293">
        <v>5304</v>
      </c>
      <c r="C293" t="str">
        <f>VLOOKUP(B293,számlarend!A:B,2,FALSE)</f>
        <v>Jogi költségek</v>
      </c>
      <c r="D293" t="s">
        <v>6</v>
      </c>
      <c r="E293" s="6">
        <v>5000</v>
      </c>
      <c r="F293" t="s">
        <v>167</v>
      </c>
    </row>
    <row r="294" spans="1:6" hidden="1">
      <c r="A294" t="s">
        <v>166</v>
      </c>
      <c r="B294">
        <v>3811</v>
      </c>
      <c r="C294" t="str">
        <f>VLOOKUP(B294,számlarend!A:B,2,FALSE)</f>
        <v>Pál pénztár zsebe</v>
      </c>
      <c r="D294" t="s">
        <v>8</v>
      </c>
      <c r="E294" s="6">
        <v>255000</v>
      </c>
      <c r="F294" t="s">
        <v>167</v>
      </c>
    </row>
    <row r="295" spans="1:6" hidden="1">
      <c r="A295" t="s">
        <v>166</v>
      </c>
      <c r="B295">
        <v>3811</v>
      </c>
      <c r="C295" t="str">
        <f>VLOOKUP(B295,számlarend!A:B,2,FALSE)</f>
        <v>Pál pénztár zsebe</v>
      </c>
      <c r="D295" t="s">
        <v>6</v>
      </c>
      <c r="E295" s="6">
        <v>255000</v>
      </c>
      <c r="F295" t="s">
        <v>168</v>
      </c>
    </row>
    <row r="296" spans="1:6" hidden="1">
      <c r="A296" t="s">
        <v>166</v>
      </c>
      <c r="B296">
        <v>956</v>
      </c>
      <c r="C296" t="str">
        <f>VLOOKUP(B296,számlarend!A:B,2,FALSE)</f>
        <v>Tagbetét befizetés</v>
      </c>
      <c r="D296" t="s">
        <v>6</v>
      </c>
      <c r="E296" s="6">
        <v>255000</v>
      </c>
      <c r="F296" t="s">
        <v>168</v>
      </c>
    </row>
    <row r="297" spans="1:6" hidden="1">
      <c r="A297" t="s">
        <v>166</v>
      </c>
      <c r="B297">
        <v>956</v>
      </c>
      <c r="C297" t="str">
        <f>VLOOKUP(B297,számlarend!A:B,2,FALSE)</f>
        <v>Tagbetét befizetés</v>
      </c>
      <c r="D297" t="s">
        <v>8</v>
      </c>
      <c r="E297" s="6">
        <v>255000</v>
      </c>
      <c r="F297" t="s">
        <v>168</v>
      </c>
    </row>
    <row r="298" spans="1:6" hidden="1">
      <c r="A298" t="s">
        <v>166</v>
      </c>
      <c r="B298">
        <v>336</v>
      </c>
      <c r="C298" t="str">
        <f>VLOOKUP(B298,számlarend!A:B,2,FALSE)</f>
        <v>Tagbetét előírás</v>
      </c>
      <c r="D298" t="s">
        <v>8</v>
      </c>
      <c r="E298" s="6">
        <v>255000</v>
      </c>
      <c r="F298" t="s">
        <v>168</v>
      </c>
    </row>
    <row r="299" spans="1:6" hidden="1">
      <c r="A299" t="s">
        <v>166</v>
      </c>
      <c r="B299">
        <v>5306</v>
      </c>
      <c r="C299" t="str">
        <f>VLOOKUP(B299,számlarend!A:B,2,FALSE)</f>
        <v>Hatósági díjak</v>
      </c>
      <c r="D299" t="s">
        <v>6</v>
      </c>
      <c r="E299" s="6">
        <v>100000</v>
      </c>
      <c r="F299" t="s">
        <v>169</v>
      </c>
    </row>
    <row r="300" spans="1:6" hidden="1">
      <c r="A300" t="s">
        <v>166</v>
      </c>
      <c r="B300">
        <v>5306</v>
      </c>
      <c r="C300" t="str">
        <f>VLOOKUP(B300,számlarend!A:B,2,FALSE)</f>
        <v>Hatósági díjak</v>
      </c>
      <c r="D300" t="s">
        <v>6</v>
      </c>
      <c r="E300" s="6">
        <v>5000</v>
      </c>
      <c r="F300" t="s">
        <v>169</v>
      </c>
    </row>
    <row r="301" spans="1:6" hidden="1">
      <c r="A301" t="s">
        <v>166</v>
      </c>
      <c r="B301">
        <v>3812</v>
      </c>
      <c r="C301" t="str">
        <f>VLOOKUP(B301,számlarend!A:B,2,FALSE)</f>
        <v>Dániel pénztár zsebe</v>
      </c>
      <c r="D301" t="s">
        <v>8</v>
      </c>
      <c r="E301" s="6">
        <v>105000</v>
      </c>
      <c r="F301" t="s">
        <v>169</v>
      </c>
    </row>
    <row r="302" spans="1:6" hidden="1">
      <c r="A302" t="s">
        <v>166</v>
      </c>
      <c r="B302">
        <v>3812</v>
      </c>
      <c r="C302" t="str">
        <f>VLOOKUP(B302,számlarend!A:B,2,FALSE)</f>
        <v>Dániel pénztár zsebe</v>
      </c>
      <c r="D302" t="s">
        <v>6</v>
      </c>
      <c r="E302" s="6">
        <v>105000</v>
      </c>
      <c r="F302" t="s">
        <v>170</v>
      </c>
    </row>
    <row r="303" spans="1:6" hidden="1">
      <c r="A303" t="s">
        <v>166</v>
      </c>
      <c r="B303">
        <v>956</v>
      </c>
      <c r="C303" t="str">
        <f>VLOOKUP(B303,számlarend!A:B,2,FALSE)</f>
        <v>Tagbetét befizetés</v>
      </c>
      <c r="D303" t="s">
        <v>6</v>
      </c>
      <c r="E303" s="6">
        <v>105000</v>
      </c>
      <c r="F303" t="s">
        <v>170</v>
      </c>
    </row>
    <row r="304" spans="1:6" hidden="1">
      <c r="A304" t="s">
        <v>166</v>
      </c>
      <c r="B304">
        <v>956</v>
      </c>
      <c r="C304" t="str">
        <f>VLOOKUP(B304,számlarend!A:B,2,FALSE)</f>
        <v>Tagbetét befizetés</v>
      </c>
      <c r="D304" t="s">
        <v>8</v>
      </c>
      <c r="E304" s="6">
        <v>105000</v>
      </c>
      <c r="F304" t="s">
        <v>170</v>
      </c>
    </row>
    <row r="305" spans="1:6" hidden="1">
      <c r="A305" t="s">
        <v>166</v>
      </c>
      <c r="B305">
        <v>336</v>
      </c>
      <c r="C305" t="str">
        <f>VLOOKUP(B305,számlarend!A:B,2,FALSE)</f>
        <v>Tagbetét előírás</v>
      </c>
      <c r="D305" t="s">
        <v>8</v>
      </c>
      <c r="E305" s="6">
        <v>105000</v>
      </c>
      <c r="F305" t="s">
        <v>170</v>
      </c>
    </row>
    <row r="306" spans="1:6" hidden="1">
      <c r="A306" t="s">
        <v>166</v>
      </c>
      <c r="B306">
        <v>192</v>
      </c>
      <c r="C306" t="str">
        <f>VLOOKUP(B306,számlarend!A:B,2,FALSE)</f>
        <v>Tagoknak adott kölcsönök</v>
      </c>
      <c r="D306" t="s">
        <v>6</v>
      </c>
      <c r="E306" s="6">
        <v>560000</v>
      </c>
      <c r="F306" t="s">
        <v>171</v>
      </c>
    </row>
    <row r="307" spans="1:6" hidden="1">
      <c r="A307" t="s">
        <v>166</v>
      </c>
      <c r="B307">
        <v>3811</v>
      </c>
      <c r="C307" t="str">
        <f>VLOOKUP(B307,számlarend!A:B,2,FALSE)</f>
        <v>Pál pénztár zsebe</v>
      </c>
      <c r="D307" t="s">
        <v>8</v>
      </c>
      <c r="E307" s="6">
        <v>560000</v>
      </c>
      <c r="F307" t="s">
        <v>171</v>
      </c>
    </row>
    <row r="308" spans="1:6" hidden="1">
      <c r="A308" t="s">
        <v>166</v>
      </c>
      <c r="B308">
        <v>3836</v>
      </c>
      <c r="C308" t="str">
        <f>VLOOKUP(B308,számlarend!A:B,2,FALSE)</f>
        <v>Laci homály pénztár zsebe</v>
      </c>
      <c r="D308" t="s">
        <v>6</v>
      </c>
      <c r="E308" s="6">
        <v>560000</v>
      </c>
      <c r="F308" t="s">
        <v>172</v>
      </c>
    </row>
    <row r="309" spans="1:6" hidden="1">
      <c r="A309" t="s">
        <v>166</v>
      </c>
      <c r="B309">
        <v>956</v>
      </c>
      <c r="C309" t="str">
        <f>VLOOKUP(B309,számlarend!A:B,2,FALSE)</f>
        <v>Tagbetét befizetés</v>
      </c>
      <c r="D309" t="s">
        <v>6</v>
      </c>
      <c r="E309" s="6">
        <v>500000</v>
      </c>
      <c r="F309" t="s">
        <v>172</v>
      </c>
    </row>
    <row r="310" spans="1:6" hidden="1">
      <c r="A310" t="s">
        <v>166</v>
      </c>
      <c r="B310">
        <v>955</v>
      </c>
      <c r="C310" t="str">
        <f>VLOOKUP(B310,számlarend!A:B,2,FALSE)</f>
        <v>Rendkivüli befizetés</v>
      </c>
      <c r="D310" t="s">
        <v>6</v>
      </c>
      <c r="E310" s="6">
        <v>60000</v>
      </c>
      <c r="F310" t="s">
        <v>172</v>
      </c>
    </row>
    <row r="311" spans="1:6" hidden="1">
      <c r="A311" t="s">
        <v>166</v>
      </c>
      <c r="B311">
        <v>956</v>
      </c>
      <c r="C311" t="str">
        <f>VLOOKUP(B311,számlarend!A:B,2,FALSE)</f>
        <v>Tagbetét befizetés</v>
      </c>
      <c r="D311" t="s">
        <v>8</v>
      </c>
      <c r="E311" s="6">
        <v>500000</v>
      </c>
      <c r="F311" t="s">
        <v>172</v>
      </c>
    </row>
    <row r="312" spans="1:6" hidden="1">
      <c r="A312" t="s">
        <v>166</v>
      </c>
      <c r="B312">
        <v>336</v>
      </c>
      <c r="C312" t="str">
        <f>VLOOKUP(B312,számlarend!A:B,2,FALSE)</f>
        <v>Tagbetét előírás</v>
      </c>
      <c r="D312" t="s">
        <v>8</v>
      </c>
      <c r="E312" s="6">
        <v>500000</v>
      </c>
      <c r="F312" t="s">
        <v>172</v>
      </c>
    </row>
    <row r="313" spans="1:6" hidden="1">
      <c r="A313" t="s">
        <v>166</v>
      </c>
      <c r="B313">
        <v>955</v>
      </c>
      <c r="C313" t="str">
        <f>VLOOKUP(B313,számlarend!A:B,2,FALSE)</f>
        <v>Rendkivüli befizetés</v>
      </c>
      <c r="D313" t="s">
        <v>8</v>
      </c>
      <c r="E313" s="6">
        <v>60000</v>
      </c>
      <c r="F313" t="s">
        <v>172</v>
      </c>
    </row>
    <row r="314" spans="1:6" hidden="1">
      <c r="A314" t="s">
        <v>166</v>
      </c>
      <c r="B314">
        <v>335</v>
      </c>
      <c r="C314" t="str">
        <f>VLOOKUP(B314,számlarend!A:B,2,FALSE)</f>
        <v>Rendkivüli befizetés előírás</v>
      </c>
      <c r="D314" t="s">
        <v>8</v>
      </c>
      <c r="E314" s="6">
        <v>60000</v>
      </c>
      <c r="F314" t="s">
        <v>172</v>
      </c>
    </row>
    <row r="315" spans="1:6" hidden="1">
      <c r="A315" t="s">
        <v>166</v>
      </c>
      <c r="B315">
        <v>192</v>
      </c>
      <c r="C315" t="str">
        <f>VLOOKUP(B315,számlarend!A:B,2,FALSE)</f>
        <v>Tagoknak adott kölcsönök</v>
      </c>
      <c r="D315" t="s">
        <v>6</v>
      </c>
      <c r="E315" s="6">
        <v>-560000</v>
      </c>
      <c r="F315" t="s">
        <v>173</v>
      </c>
    </row>
    <row r="316" spans="1:6" hidden="1">
      <c r="A316" t="s">
        <v>166</v>
      </c>
      <c r="B316">
        <v>3811</v>
      </c>
      <c r="C316" t="str">
        <f>VLOOKUP(B316,számlarend!A:B,2,FALSE)</f>
        <v>Pál pénztár zsebe</v>
      </c>
      <c r="D316" t="s">
        <v>8</v>
      </c>
      <c r="E316" s="6">
        <v>-560000</v>
      </c>
      <c r="F316" t="s">
        <v>173</v>
      </c>
    </row>
    <row r="317" spans="1:6" hidden="1">
      <c r="A317" t="s">
        <v>166</v>
      </c>
      <c r="B317">
        <v>3836</v>
      </c>
      <c r="C317" t="str">
        <f>VLOOKUP(B317,számlarend!A:B,2,FALSE)</f>
        <v>Laci homály pénztár zsebe</v>
      </c>
      <c r="D317" t="s">
        <v>6</v>
      </c>
      <c r="E317" s="6">
        <v>-560000</v>
      </c>
      <c r="F317" t="s">
        <v>174</v>
      </c>
    </row>
    <row r="318" spans="1:6" hidden="1">
      <c r="A318" t="s">
        <v>166</v>
      </c>
      <c r="B318">
        <v>956</v>
      </c>
      <c r="C318" t="str">
        <f>VLOOKUP(B318,számlarend!A:B,2,FALSE)</f>
        <v>Tagbetét befizetés</v>
      </c>
      <c r="D318" t="s">
        <v>6</v>
      </c>
      <c r="E318" s="6">
        <v>-500000</v>
      </c>
      <c r="F318" t="s">
        <v>174</v>
      </c>
    </row>
    <row r="319" spans="1:6" hidden="1">
      <c r="A319" t="s">
        <v>166</v>
      </c>
      <c r="B319">
        <v>955</v>
      </c>
      <c r="C319" t="str">
        <f>VLOOKUP(B319,számlarend!A:B,2,FALSE)</f>
        <v>Rendkivüli befizetés</v>
      </c>
      <c r="D319" t="s">
        <v>6</v>
      </c>
      <c r="E319" s="6">
        <v>-60000</v>
      </c>
      <c r="F319" t="s">
        <v>174</v>
      </c>
    </row>
    <row r="320" spans="1:6" hidden="1">
      <c r="A320" t="s">
        <v>166</v>
      </c>
      <c r="B320">
        <v>956</v>
      </c>
      <c r="C320" t="str">
        <f>VLOOKUP(B320,számlarend!A:B,2,FALSE)</f>
        <v>Tagbetét befizetés</v>
      </c>
      <c r="D320" t="s">
        <v>8</v>
      </c>
      <c r="E320" s="6">
        <v>-500000</v>
      </c>
      <c r="F320" t="s">
        <v>174</v>
      </c>
    </row>
    <row r="321" spans="1:6" hidden="1">
      <c r="A321" t="s">
        <v>166</v>
      </c>
      <c r="B321">
        <v>336</v>
      </c>
      <c r="C321" t="str">
        <f>VLOOKUP(B321,számlarend!A:B,2,FALSE)</f>
        <v>Tagbetét előírás</v>
      </c>
      <c r="D321" t="s">
        <v>8</v>
      </c>
      <c r="E321" s="6">
        <v>-500000</v>
      </c>
      <c r="F321" t="s">
        <v>174</v>
      </c>
    </row>
    <row r="322" spans="1:6" hidden="1">
      <c r="A322" t="s">
        <v>166</v>
      </c>
      <c r="B322">
        <v>955</v>
      </c>
      <c r="C322" t="str">
        <f>VLOOKUP(B322,számlarend!A:B,2,FALSE)</f>
        <v>Rendkivüli befizetés</v>
      </c>
      <c r="D322" t="s">
        <v>8</v>
      </c>
      <c r="E322" s="6">
        <v>-60000</v>
      </c>
      <c r="F322" t="s">
        <v>174</v>
      </c>
    </row>
    <row r="323" spans="1:6" hidden="1">
      <c r="A323" t="s">
        <v>166</v>
      </c>
      <c r="B323">
        <v>335</v>
      </c>
      <c r="C323" t="str">
        <f>VLOOKUP(B323,számlarend!A:B,2,FALSE)</f>
        <v>Rendkivüli befizetés előírás</v>
      </c>
      <c r="D323" t="s">
        <v>8</v>
      </c>
      <c r="E323" s="6">
        <v>-60000</v>
      </c>
      <c r="F323" t="s">
        <v>174</v>
      </c>
    </row>
  </sheetData>
  <autoFilter ref="A1:F323" xr:uid="{00000000-0001-0000-0000-000000000000}">
    <filterColumn colId="5">
      <filters>
        <filter val="FIZ/DIJ/9/2025"/>
        <filter val="SZ/DIJ/9/202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C242-C966-CF49-9220-63AC4C5EA4E2}">
  <dimension ref="A1:J118"/>
  <sheetViews>
    <sheetView topLeftCell="A16" workbookViewId="0">
      <selection activeCell="A28" sqref="A28:G60"/>
    </sheetView>
  </sheetViews>
  <sheetFormatPr baseColWidth="10" defaultRowHeight="15"/>
  <cols>
    <col min="2" max="2" width="18.83203125" bestFit="1" customWidth="1"/>
    <col min="5" max="5" width="24.1640625" bestFit="1" customWidth="1"/>
    <col min="7" max="7" width="33.33203125" bestFit="1" customWidth="1"/>
    <col min="8" max="8" width="28.6640625" bestFit="1" customWidth="1"/>
  </cols>
  <sheetData>
    <row r="1" spans="1:10" ht="20">
      <c r="A1" s="9" t="s">
        <v>454</v>
      </c>
      <c r="B1" s="9" t="s">
        <v>455</v>
      </c>
      <c r="C1" s="9" t="s">
        <v>604</v>
      </c>
      <c r="D1" s="9" t="s">
        <v>605</v>
      </c>
      <c r="E1" s="9" t="s">
        <v>606</v>
      </c>
      <c r="F1" s="9" t="s">
        <v>607</v>
      </c>
      <c r="G1" s="9" t="s">
        <v>2</v>
      </c>
      <c r="H1" s="9" t="s">
        <v>608</v>
      </c>
      <c r="I1" s="9" t="s">
        <v>609</v>
      </c>
      <c r="J1" s="9" t="s">
        <v>456</v>
      </c>
    </row>
    <row r="2" spans="1:10" ht="20">
      <c r="A2" s="10" t="s">
        <v>142</v>
      </c>
      <c r="B2" s="11"/>
      <c r="C2" s="10" t="s">
        <v>610</v>
      </c>
      <c r="D2" s="10" t="s">
        <v>611</v>
      </c>
      <c r="E2" s="10" t="s">
        <v>141</v>
      </c>
      <c r="F2" s="10" t="s">
        <v>122</v>
      </c>
      <c r="G2" s="12">
        <v>500000</v>
      </c>
      <c r="H2" s="10">
        <v>0</v>
      </c>
      <c r="I2" s="10" t="s">
        <v>154</v>
      </c>
      <c r="J2" s="10" t="s">
        <v>457</v>
      </c>
    </row>
    <row r="3" spans="1:10" ht="20">
      <c r="A3" s="10" t="s">
        <v>110</v>
      </c>
      <c r="B3" s="11"/>
      <c r="C3" s="10" t="s">
        <v>612</v>
      </c>
      <c r="D3" s="10" t="s">
        <v>106</v>
      </c>
      <c r="E3" s="10" t="s">
        <v>106</v>
      </c>
      <c r="F3" s="10" t="s">
        <v>613</v>
      </c>
      <c r="G3" s="12">
        <v>12500000</v>
      </c>
      <c r="H3" s="10">
        <v>0</v>
      </c>
      <c r="I3" s="10" t="s">
        <v>93</v>
      </c>
      <c r="J3" s="10" t="s">
        <v>457</v>
      </c>
    </row>
    <row r="4" spans="1:10" ht="20">
      <c r="A4" s="10" t="s">
        <v>148</v>
      </c>
      <c r="B4" s="11"/>
      <c r="C4" s="10" t="s">
        <v>610</v>
      </c>
      <c r="D4" s="10" t="s">
        <v>611</v>
      </c>
      <c r="E4" s="10" t="s">
        <v>141</v>
      </c>
      <c r="F4" s="10" t="s">
        <v>122</v>
      </c>
      <c r="G4" s="12">
        <v>172000</v>
      </c>
      <c r="H4" s="10">
        <v>0</v>
      </c>
      <c r="I4" s="10" t="s">
        <v>154</v>
      </c>
      <c r="J4" s="10" t="s">
        <v>457</v>
      </c>
    </row>
    <row r="5" spans="1:10" ht="20">
      <c r="A5" s="10" t="s">
        <v>149</v>
      </c>
      <c r="B5" s="11"/>
      <c r="C5" s="10" t="s">
        <v>614</v>
      </c>
      <c r="D5" s="10" t="s">
        <v>611</v>
      </c>
      <c r="E5" s="10" t="s">
        <v>141</v>
      </c>
      <c r="F5" s="10" t="s">
        <v>122</v>
      </c>
      <c r="G5" s="12">
        <v>172000</v>
      </c>
      <c r="H5" s="10">
        <v>0</v>
      </c>
      <c r="I5" s="10" t="s">
        <v>154</v>
      </c>
      <c r="J5" s="10" t="s">
        <v>457</v>
      </c>
    </row>
    <row r="6" spans="1:10" ht="20">
      <c r="A6" s="10" t="s">
        <v>150</v>
      </c>
      <c r="B6" s="11"/>
      <c r="C6" s="10" t="s">
        <v>615</v>
      </c>
      <c r="D6" s="10" t="s">
        <v>611</v>
      </c>
      <c r="E6" s="10" t="s">
        <v>141</v>
      </c>
      <c r="F6" s="10" t="s">
        <v>122</v>
      </c>
      <c r="G6" s="12">
        <v>172000</v>
      </c>
      <c r="H6" s="10">
        <v>0</v>
      </c>
      <c r="I6" s="10" t="s">
        <v>154</v>
      </c>
      <c r="J6" s="10" t="s">
        <v>457</v>
      </c>
    </row>
    <row r="7" spans="1:10" ht="20">
      <c r="A7" s="10" t="s">
        <v>151</v>
      </c>
      <c r="B7" s="11"/>
      <c r="C7" s="10" t="s">
        <v>612</v>
      </c>
      <c r="D7" s="10" t="s">
        <v>611</v>
      </c>
      <c r="E7" s="10" t="s">
        <v>141</v>
      </c>
      <c r="F7" s="10" t="s">
        <v>122</v>
      </c>
      <c r="G7" s="12">
        <v>172000</v>
      </c>
      <c r="H7" s="10">
        <v>0</v>
      </c>
      <c r="I7" s="10" t="s">
        <v>154</v>
      </c>
      <c r="J7" s="10" t="s">
        <v>457</v>
      </c>
    </row>
    <row r="8" spans="1:10" ht="20">
      <c r="A8" s="10" t="s">
        <v>152</v>
      </c>
      <c r="B8" s="11"/>
      <c r="C8" s="10" t="s">
        <v>616</v>
      </c>
      <c r="D8" s="10" t="s">
        <v>611</v>
      </c>
      <c r="E8" s="10" t="s">
        <v>141</v>
      </c>
      <c r="F8" s="10" t="s">
        <v>122</v>
      </c>
      <c r="G8" s="12">
        <v>60000</v>
      </c>
      <c r="H8" s="12">
        <v>60000</v>
      </c>
      <c r="I8" s="10" t="s">
        <v>166</v>
      </c>
      <c r="J8" s="10" t="s">
        <v>457</v>
      </c>
    </row>
    <row r="9" spans="1:10" ht="20">
      <c r="A9" s="10" t="s">
        <v>153</v>
      </c>
      <c r="B9" s="11"/>
      <c r="C9" s="10" t="s">
        <v>617</v>
      </c>
      <c r="D9" s="10" t="s">
        <v>611</v>
      </c>
      <c r="E9" s="10" t="s">
        <v>141</v>
      </c>
      <c r="F9" s="10" t="s">
        <v>122</v>
      </c>
      <c r="G9" s="12">
        <v>172000</v>
      </c>
      <c r="H9" s="10">
        <v>0</v>
      </c>
      <c r="I9" s="10" t="s">
        <v>154</v>
      </c>
      <c r="J9" s="10" t="s">
        <v>457</v>
      </c>
    </row>
    <row r="10" spans="1:10" ht="20">
      <c r="A10" s="10" t="s">
        <v>143</v>
      </c>
      <c r="B10" s="11"/>
      <c r="C10" s="10" t="s">
        <v>614</v>
      </c>
      <c r="D10" s="10" t="s">
        <v>611</v>
      </c>
      <c r="E10" s="10" t="s">
        <v>141</v>
      </c>
      <c r="F10" s="10" t="s">
        <v>122</v>
      </c>
      <c r="G10" s="12">
        <v>500000</v>
      </c>
      <c r="H10" s="10">
        <v>0</v>
      </c>
      <c r="I10" s="10" t="s">
        <v>166</v>
      </c>
      <c r="J10" s="10" t="s">
        <v>457</v>
      </c>
    </row>
    <row r="11" spans="1:10" ht="20">
      <c r="A11" s="10" t="s">
        <v>144</v>
      </c>
      <c r="B11" s="11"/>
      <c r="C11" s="10" t="s">
        <v>615</v>
      </c>
      <c r="D11" s="10" t="s">
        <v>611</v>
      </c>
      <c r="E11" s="10" t="s">
        <v>141</v>
      </c>
      <c r="F11" s="10" t="s">
        <v>122</v>
      </c>
      <c r="G11" s="12">
        <v>500000</v>
      </c>
      <c r="H11" s="10">
        <v>0</v>
      </c>
      <c r="I11" s="10" t="s">
        <v>154</v>
      </c>
      <c r="J11" s="10" t="s">
        <v>457</v>
      </c>
    </row>
    <row r="12" spans="1:10" ht="20">
      <c r="A12" s="10" t="s">
        <v>145</v>
      </c>
      <c r="B12" s="11"/>
      <c r="C12" s="10" t="s">
        <v>612</v>
      </c>
      <c r="D12" s="10" t="s">
        <v>611</v>
      </c>
      <c r="E12" s="10" t="s">
        <v>141</v>
      </c>
      <c r="F12" s="10" t="s">
        <v>122</v>
      </c>
      <c r="G12" s="12">
        <v>500000</v>
      </c>
      <c r="H12" s="10">
        <v>0</v>
      </c>
      <c r="I12" s="10" t="s">
        <v>154</v>
      </c>
      <c r="J12" s="10" t="s">
        <v>457</v>
      </c>
    </row>
    <row r="13" spans="1:10" ht="20">
      <c r="A13" s="10" t="s">
        <v>146</v>
      </c>
      <c r="B13" s="11"/>
      <c r="C13" s="10" t="s">
        <v>616</v>
      </c>
      <c r="D13" s="10" t="s">
        <v>611</v>
      </c>
      <c r="E13" s="10" t="s">
        <v>141</v>
      </c>
      <c r="F13" s="10" t="s">
        <v>122</v>
      </c>
      <c r="G13" s="12">
        <v>500000</v>
      </c>
      <c r="H13" s="12">
        <v>500000</v>
      </c>
      <c r="I13" s="10" t="s">
        <v>166</v>
      </c>
      <c r="J13" s="10" t="s">
        <v>457</v>
      </c>
    </row>
    <row r="14" spans="1:10" ht="20">
      <c r="A14" s="10" t="s">
        <v>147</v>
      </c>
      <c r="B14" s="11"/>
      <c r="C14" s="10" t="s">
        <v>617</v>
      </c>
      <c r="D14" s="10" t="s">
        <v>611</v>
      </c>
      <c r="E14" s="10" t="s">
        <v>141</v>
      </c>
      <c r="F14" s="10" t="s">
        <v>122</v>
      </c>
      <c r="G14" s="12">
        <v>500000</v>
      </c>
      <c r="H14" s="10">
        <v>0</v>
      </c>
      <c r="I14" s="10" t="s">
        <v>154</v>
      </c>
      <c r="J14" s="10" t="s">
        <v>457</v>
      </c>
    </row>
    <row r="15" spans="1:10" ht="20">
      <c r="A15" s="10" t="s">
        <v>107</v>
      </c>
      <c r="B15" s="11"/>
      <c r="C15" s="10" t="s">
        <v>610</v>
      </c>
      <c r="D15" s="10" t="s">
        <v>106</v>
      </c>
      <c r="E15" s="10" t="s">
        <v>106</v>
      </c>
      <c r="F15" s="10" t="s">
        <v>613</v>
      </c>
      <c r="G15" s="12">
        <v>12500000</v>
      </c>
      <c r="H15" s="10">
        <v>0</v>
      </c>
      <c r="I15" s="10" t="s">
        <v>96</v>
      </c>
      <c r="J15" s="10" t="s">
        <v>457</v>
      </c>
    </row>
    <row r="16" spans="1:10" ht="20">
      <c r="A16" s="10" t="s">
        <v>108</v>
      </c>
      <c r="B16" s="11"/>
      <c r="C16" s="10" t="s">
        <v>614</v>
      </c>
      <c r="D16" s="10" t="s">
        <v>106</v>
      </c>
      <c r="E16" s="10" t="s">
        <v>106</v>
      </c>
      <c r="F16" s="10" t="s">
        <v>613</v>
      </c>
      <c r="G16" s="12">
        <v>12500000</v>
      </c>
      <c r="H16" s="10">
        <v>0</v>
      </c>
      <c r="I16" s="10" t="s">
        <v>116</v>
      </c>
      <c r="J16" s="10" t="s">
        <v>457</v>
      </c>
    </row>
    <row r="17" spans="1:10" ht="20">
      <c r="A17" s="10" t="s">
        <v>109</v>
      </c>
      <c r="B17" s="11"/>
      <c r="C17" s="10" t="s">
        <v>615</v>
      </c>
      <c r="D17" s="10" t="s">
        <v>106</v>
      </c>
      <c r="E17" s="10" t="s">
        <v>106</v>
      </c>
      <c r="F17" s="10" t="s">
        <v>613</v>
      </c>
      <c r="G17" s="12">
        <v>12500000</v>
      </c>
      <c r="H17" s="10">
        <v>0</v>
      </c>
      <c r="I17" s="10" t="s">
        <v>98</v>
      </c>
      <c r="J17" s="10" t="s">
        <v>457</v>
      </c>
    </row>
    <row r="18" spans="1:10" ht="20">
      <c r="A18" s="9" t="s">
        <v>454</v>
      </c>
      <c r="B18" s="9" t="s">
        <v>455</v>
      </c>
      <c r="C18" s="9" t="s">
        <v>604</v>
      </c>
      <c r="D18" s="9" t="s">
        <v>605</v>
      </c>
      <c r="E18" s="9" t="s">
        <v>606</v>
      </c>
      <c r="F18" s="9" t="s">
        <v>607</v>
      </c>
      <c r="G18" s="9" t="s">
        <v>2</v>
      </c>
      <c r="H18" s="9" t="s">
        <v>608</v>
      </c>
      <c r="I18" s="9" t="s">
        <v>609</v>
      </c>
      <c r="J18" s="9" t="s">
        <v>456</v>
      </c>
    </row>
    <row r="19" spans="1:10" ht="20">
      <c r="A19" s="10" t="s">
        <v>26</v>
      </c>
      <c r="B19" s="11"/>
      <c r="C19" s="10" t="s">
        <v>618</v>
      </c>
      <c r="D19" s="10" t="s">
        <v>23</v>
      </c>
      <c r="E19" s="10" t="s">
        <v>23</v>
      </c>
      <c r="F19" s="10" t="s">
        <v>619</v>
      </c>
      <c r="G19" s="12">
        <v>68000</v>
      </c>
      <c r="H19" s="10">
        <v>0</v>
      </c>
      <c r="I19" s="10" t="s">
        <v>14</v>
      </c>
      <c r="J19" s="10" t="s">
        <v>457</v>
      </c>
    </row>
    <row r="20" spans="1:10" ht="20">
      <c r="A20" s="10" t="s">
        <v>7</v>
      </c>
      <c r="B20" s="11"/>
      <c r="C20" s="10" t="s">
        <v>618</v>
      </c>
      <c r="D20" s="10" t="s">
        <v>5</v>
      </c>
      <c r="E20" s="10" t="s">
        <v>5</v>
      </c>
      <c r="F20" s="10" t="s">
        <v>620</v>
      </c>
      <c r="G20" s="12">
        <v>40000</v>
      </c>
      <c r="H20" s="10">
        <v>0</v>
      </c>
      <c r="I20" s="10" t="s">
        <v>14</v>
      </c>
      <c r="J20" s="10" t="s">
        <v>457</v>
      </c>
    </row>
    <row r="21" spans="1:10" ht="20">
      <c r="A21" s="10" t="s">
        <v>66</v>
      </c>
      <c r="B21" s="11"/>
      <c r="C21" s="10" t="s">
        <v>621</v>
      </c>
      <c r="D21" s="10" t="s">
        <v>65</v>
      </c>
      <c r="E21" s="10" t="s">
        <v>65</v>
      </c>
      <c r="F21" s="10" t="s">
        <v>622</v>
      </c>
      <c r="G21" s="12">
        <v>160000</v>
      </c>
      <c r="H21" s="10">
        <v>0</v>
      </c>
      <c r="I21" s="10" t="s">
        <v>61</v>
      </c>
      <c r="J21" s="10" t="s">
        <v>556</v>
      </c>
    </row>
    <row r="22" spans="1:10" ht="20">
      <c r="A22" s="10" t="s">
        <v>88</v>
      </c>
      <c r="B22" s="11"/>
      <c r="C22" s="10" t="s">
        <v>621</v>
      </c>
      <c r="D22" s="10" t="s">
        <v>87</v>
      </c>
      <c r="E22" s="10" t="s">
        <v>87</v>
      </c>
      <c r="F22" s="10" t="s">
        <v>623</v>
      </c>
      <c r="G22" s="12">
        <v>80000</v>
      </c>
      <c r="H22" s="10">
        <v>0</v>
      </c>
      <c r="I22" s="10" t="s">
        <v>85</v>
      </c>
      <c r="J22" s="10" t="s">
        <v>545</v>
      </c>
    </row>
    <row r="23" spans="1:10" ht="20">
      <c r="A23" s="9" t="s">
        <v>454</v>
      </c>
      <c r="B23" s="9" t="s">
        <v>455</v>
      </c>
      <c r="C23" s="9" t="s">
        <v>604</v>
      </c>
      <c r="D23" s="9" t="s">
        <v>0</v>
      </c>
      <c r="E23" s="9" t="s">
        <v>2</v>
      </c>
      <c r="F23" s="9" t="s">
        <v>624</v>
      </c>
      <c r="G23" s="9" t="s">
        <v>625</v>
      </c>
      <c r="H23" s="9" t="s">
        <v>456</v>
      </c>
      <c r="I23" s="9"/>
    </row>
    <row r="24" spans="1:10" ht="20">
      <c r="A24" s="10" t="s">
        <v>86</v>
      </c>
      <c r="B24" s="11"/>
      <c r="C24" s="10" t="s">
        <v>621</v>
      </c>
      <c r="D24" s="10" t="s">
        <v>85</v>
      </c>
      <c r="E24" s="12">
        <v>80000</v>
      </c>
      <c r="F24" s="10">
        <v>0</v>
      </c>
      <c r="G24" s="13" t="s">
        <v>626</v>
      </c>
      <c r="H24" s="10" t="s">
        <v>457</v>
      </c>
      <c r="I24" s="14"/>
    </row>
    <row r="25" spans="1:10" ht="20">
      <c r="A25" s="10" t="s">
        <v>62</v>
      </c>
      <c r="B25" s="11"/>
      <c r="C25" s="10" t="s">
        <v>621</v>
      </c>
      <c r="D25" s="10" t="s">
        <v>61</v>
      </c>
      <c r="E25" s="12">
        <v>160000</v>
      </c>
      <c r="F25" s="10">
        <v>0</v>
      </c>
      <c r="G25" s="13" t="s">
        <v>626</v>
      </c>
      <c r="H25" s="10" t="s">
        <v>457</v>
      </c>
      <c r="I25" s="14"/>
    </row>
    <row r="26" spans="1:10" ht="20">
      <c r="A26" s="10" t="s">
        <v>15</v>
      </c>
      <c r="B26" s="11"/>
      <c r="C26" s="10" t="s">
        <v>618</v>
      </c>
      <c r="D26" s="10" t="s">
        <v>14</v>
      </c>
      <c r="E26" s="12">
        <v>40000</v>
      </c>
      <c r="F26" s="10">
        <v>0</v>
      </c>
      <c r="G26" s="13" t="s">
        <v>626</v>
      </c>
      <c r="H26" s="10" t="s">
        <v>457</v>
      </c>
      <c r="I26" s="14"/>
    </row>
    <row r="27" spans="1:10" ht="20">
      <c r="A27" s="10" t="s">
        <v>16</v>
      </c>
      <c r="B27" s="11"/>
      <c r="C27" s="10" t="s">
        <v>618</v>
      </c>
      <c r="D27" s="10" t="s">
        <v>14</v>
      </c>
      <c r="E27" s="12">
        <v>68000</v>
      </c>
      <c r="F27" s="10">
        <v>0</v>
      </c>
      <c r="G27" s="13" t="s">
        <v>626</v>
      </c>
      <c r="H27" s="10" t="s">
        <v>457</v>
      </c>
      <c r="I27" s="14"/>
    </row>
    <row r="28" spans="1:10" ht="17">
      <c r="A28" s="16" t="s">
        <v>454</v>
      </c>
      <c r="B28" s="16" t="s">
        <v>455</v>
      </c>
      <c r="C28" s="16" t="s">
        <v>604</v>
      </c>
      <c r="D28" s="16" t="s">
        <v>0</v>
      </c>
      <c r="E28" s="16" t="s">
        <v>2</v>
      </c>
      <c r="F28" s="16" t="s">
        <v>456</v>
      </c>
      <c r="G28" s="16"/>
    </row>
    <row r="29" spans="1:10" ht="19">
      <c r="A29" s="17" t="s">
        <v>132</v>
      </c>
      <c r="B29" s="18"/>
      <c r="C29" s="17" t="s">
        <v>629</v>
      </c>
      <c r="D29" s="17" t="s">
        <v>130</v>
      </c>
      <c r="E29" s="19">
        <v>4500</v>
      </c>
      <c r="F29" s="17" t="s">
        <v>457</v>
      </c>
      <c r="G29" s="20"/>
    </row>
    <row r="30" spans="1:10" ht="19">
      <c r="A30" s="17" t="s">
        <v>91</v>
      </c>
      <c r="B30" s="18"/>
      <c r="C30" s="17" t="s">
        <v>629</v>
      </c>
      <c r="D30" s="17" t="s">
        <v>89</v>
      </c>
      <c r="E30" s="19">
        <v>20000</v>
      </c>
      <c r="F30" s="17" t="s">
        <v>457</v>
      </c>
      <c r="G30" s="20"/>
    </row>
    <row r="31" spans="1:10" ht="19">
      <c r="A31" s="17" t="s">
        <v>92</v>
      </c>
      <c r="B31" s="18"/>
      <c r="C31" s="17" t="s">
        <v>629</v>
      </c>
      <c r="D31" s="17" t="s">
        <v>89</v>
      </c>
      <c r="E31" s="17">
        <v>764</v>
      </c>
      <c r="F31" s="17" t="s">
        <v>457</v>
      </c>
      <c r="G31" s="20"/>
    </row>
    <row r="32" spans="1:10" ht="19">
      <c r="A32" s="17" t="s">
        <v>84</v>
      </c>
      <c r="B32" s="18"/>
      <c r="C32" s="17" t="s">
        <v>630</v>
      </c>
      <c r="D32" s="17" t="s">
        <v>83</v>
      </c>
      <c r="E32" s="19">
        <v>21200</v>
      </c>
      <c r="F32" s="17" t="s">
        <v>457</v>
      </c>
      <c r="G32" s="20"/>
    </row>
    <row r="33" spans="1:7" ht="19">
      <c r="A33" s="17" t="s">
        <v>79</v>
      </c>
      <c r="B33" s="18"/>
      <c r="C33" s="17" t="s">
        <v>629</v>
      </c>
      <c r="D33" s="17" t="s">
        <v>77</v>
      </c>
      <c r="E33" s="17">
        <v>764</v>
      </c>
      <c r="F33" s="17" t="s">
        <v>457</v>
      </c>
      <c r="G33" s="20"/>
    </row>
    <row r="34" spans="1:7" ht="19">
      <c r="A34" s="17" t="s">
        <v>80</v>
      </c>
      <c r="B34" s="18"/>
      <c r="C34" s="17" t="s">
        <v>629</v>
      </c>
      <c r="D34" s="17" t="s">
        <v>77</v>
      </c>
      <c r="E34" s="17">
        <v>360</v>
      </c>
      <c r="F34" s="17" t="s">
        <v>457</v>
      </c>
      <c r="G34" s="20"/>
    </row>
    <row r="35" spans="1:7" ht="19">
      <c r="A35" s="17" t="s">
        <v>74</v>
      </c>
      <c r="B35" s="18"/>
      <c r="C35" s="17" t="s">
        <v>629</v>
      </c>
      <c r="D35" s="17" t="s">
        <v>73</v>
      </c>
      <c r="E35" s="17">
        <v>792</v>
      </c>
      <c r="F35" s="17" t="s">
        <v>457</v>
      </c>
      <c r="G35" s="20"/>
    </row>
    <row r="36" spans="1:7" ht="19">
      <c r="A36" s="17" t="s">
        <v>76</v>
      </c>
      <c r="B36" s="18"/>
      <c r="C36" s="17" t="s">
        <v>610</v>
      </c>
      <c r="D36" s="17" t="s">
        <v>75</v>
      </c>
      <c r="E36" s="19">
        <v>30001</v>
      </c>
      <c r="F36" s="17" t="s">
        <v>457</v>
      </c>
      <c r="G36" s="20"/>
    </row>
    <row r="37" spans="1:7" ht="19">
      <c r="A37" s="17" t="s">
        <v>70</v>
      </c>
      <c r="B37" s="18"/>
      <c r="C37" s="17" t="s">
        <v>610</v>
      </c>
      <c r="D37" s="17" t="s">
        <v>69</v>
      </c>
      <c r="E37" s="19">
        <v>31693</v>
      </c>
      <c r="F37" s="17" t="s">
        <v>457</v>
      </c>
      <c r="G37" s="20"/>
    </row>
    <row r="38" spans="1:7" ht="19">
      <c r="A38" s="17" t="s">
        <v>68</v>
      </c>
      <c r="B38" s="18"/>
      <c r="C38" s="17" t="s">
        <v>610</v>
      </c>
      <c r="D38" s="17" t="s">
        <v>67</v>
      </c>
      <c r="E38" s="19">
        <v>31504</v>
      </c>
      <c r="F38" s="17" t="s">
        <v>457</v>
      </c>
      <c r="G38" s="20"/>
    </row>
    <row r="39" spans="1:7" ht="19">
      <c r="A39" s="17" t="s">
        <v>123</v>
      </c>
      <c r="B39" s="18"/>
      <c r="C39" s="17" t="s">
        <v>629</v>
      </c>
      <c r="D39" s="17" t="s">
        <v>122</v>
      </c>
      <c r="E39" s="17">
        <v>255</v>
      </c>
      <c r="F39" s="17" t="s">
        <v>457</v>
      </c>
      <c r="G39" s="20"/>
    </row>
    <row r="40" spans="1:7" ht="19">
      <c r="A40" s="17" t="s">
        <v>64</v>
      </c>
      <c r="B40" s="18"/>
      <c r="C40" s="17" t="s">
        <v>629</v>
      </c>
      <c r="D40" s="17" t="s">
        <v>63</v>
      </c>
      <c r="E40" s="17">
        <v>792</v>
      </c>
      <c r="F40" s="17" t="s">
        <v>457</v>
      </c>
      <c r="G40" s="20"/>
    </row>
    <row r="41" spans="1:7" ht="19">
      <c r="A41" s="17" t="s">
        <v>49</v>
      </c>
      <c r="B41" s="18"/>
      <c r="C41" s="17" t="s">
        <v>630</v>
      </c>
      <c r="D41" s="17" t="s">
        <v>48</v>
      </c>
      <c r="E41" s="19">
        <v>10600</v>
      </c>
      <c r="F41" s="17" t="s">
        <v>457</v>
      </c>
      <c r="G41" s="20"/>
    </row>
    <row r="42" spans="1:7" ht="19">
      <c r="A42" s="17" t="s">
        <v>50</v>
      </c>
      <c r="B42" s="18"/>
      <c r="C42" s="17" t="s">
        <v>630</v>
      </c>
      <c r="D42" s="17" t="s">
        <v>48</v>
      </c>
      <c r="E42" s="19">
        <v>10600</v>
      </c>
      <c r="F42" s="17" t="s">
        <v>457</v>
      </c>
      <c r="G42" s="20"/>
    </row>
    <row r="43" spans="1:7" ht="19">
      <c r="A43" s="17" t="s">
        <v>51</v>
      </c>
      <c r="B43" s="18"/>
      <c r="C43" s="17" t="s">
        <v>631</v>
      </c>
      <c r="D43" s="17" t="s">
        <v>48</v>
      </c>
      <c r="E43" s="19">
        <v>1700000</v>
      </c>
      <c r="F43" s="17" t="s">
        <v>457</v>
      </c>
      <c r="G43" s="20"/>
    </row>
    <row r="44" spans="1:7" ht="19">
      <c r="A44" s="17" t="s">
        <v>52</v>
      </c>
      <c r="B44" s="18"/>
      <c r="C44" s="17" t="s">
        <v>457</v>
      </c>
      <c r="D44" s="17" t="s">
        <v>48</v>
      </c>
      <c r="E44" s="19">
        <v>1000000</v>
      </c>
      <c r="F44" s="17" t="s">
        <v>457</v>
      </c>
      <c r="G44" s="20"/>
    </row>
    <row r="45" spans="1:7" ht="19">
      <c r="A45" s="17" t="s">
        <v>82</v>
      </c>
      <c r="B45" s="18"/>
      <c r="C45" s="17" t="s">
        <v>631</v>
      </c>
      <c r="D45" s="17" t="s">
        <v>81</v>
      </c>
      <c r="E45" s="19">
        <v>1000000</v>
      </c>
      <c r="F45" s="17" t="s">
        <v>457</v>
      </c>
      <c r="G45" s="20"/>
    </row>
    <row r="46" spans="1:7" ht="19">
      <c r="A46" s="17" t="s">
        <v>72</v>
      </c>
      <c r="B46" s="18"/>
      <c r="C46" s="17" t="s">
        <v>632</v>
      </c>
      <c r="D46" s="17" t="s">
        <v>71</v>
      </c>
      <c r="E46" s="19">
        <v>150000</v>
      </c>
      <c r="F46" s="17" t="s">
        <v>457</v>
      </c>
      <c r="G46" s="20"/>
    </row>
    <row r="47" spans="1:7" ht="19">
      <c r="A47" s="17" t="s">
        <v>24</v>
      </c>
      <c r="B47" s="18"/>
      <c r="C47" s="17" t="s">
        <v>633</v>
      </c>
      <c r="D47" s="17" t="s">
        <v>23</v>
      </c>
      <c r="E47" s="19">
        <v>195000</v>
      </c>
      <c r="F47" s="17" t="s">
        <v>457</v>
      </c>
      <c r="G47" s="20"/>
    </row>
    <row r="48" spans="1:7" ht="19">
      <c r="A48" s="17" t="s">
        <v>20</v>
      </c>
      <c r="B48" s="18"/>
      <c r="C48" s="17" t="s">
        <v>633</v>
      </c>
      <c r="D48" s="17" t="s">
        <v>19</v>
      </c>
      <c r="E48" s="19">
        <v>130000</v>
      </c>
      <c r="F48" s="17" t="s">
        <v>457</v>
      </c>
      <c r="G48" s="20"/>
    </row>
    <row r="49" spans="1:7" ht="19">
      <c r="A49" s="17" t="s">
        <v>25</v>
      </c>
      <c r="B49" s="18"/>
      <c r="C49" s="17" t="s">
        <v>633</v>
      </c>
      <c r="D49" s="17" t="s">
        <v>23</v>
      </c>
      <c r="E49" s="19">
        <v>20000</v>
      </c>
      <c r="F49" s="17" t="s">
        <v>457</v>
      </c>
      <c r="G49" s="20"/>
    </row>
    <row r="50" spans="1:7" ht="19">
      <c r="A50" s="17" t="s">
        <v>124</v>
      </c>
      <c r="B50" s="18"/>
      <c r="C50" s="17" t="s">
        <v>629</v>
      </c>
      <c r="D50" s="17" t="s">
        <v>122</v>
      </c>
      <c r="E50" s="17">
        <v>764</v>
      </c>
      <c r="F50" s="17" t="s">
        <v>457</v>
      </c>
      <c r="G50" s="20"/>
    </row>
    <row r="51" spans="1:7" ht="19">
      <c r="A51" s="17" t="s">
        <v>39</v>
      </c>
      <c r="B51" s="18"/>
      <c r="C51" s="17" t="s">
        <v>616</v>
      </c>
      <c r="D51" s="17" t="s">
        <v>38</v>
      </c>
      <c r="E51" s="19">
        <v>100000</v>
      </c>
      <c r="F51" s="17" t="s">
        <v>458</v>
      </c>
      <c r="G51" s="20"/>
    </row>
    <row r="52" spans="1:7" ht="19">
      <c r="A52" s="17" t="s">
        <v>46</v>
      </c>
      <c r="B52" s="18"/>
      <c r="C52" s="17" t="s">
        <v>634</v>
      </c>
      <c r="D52" s="17" t="s">
        <v>45</v>
      </c>
      <c r="E52" s="19">
        <v>101600</v>
      </c>
      <c r="F52" s="17" t="s">
        <v>457</v>
      </c>
      <c r="G52" s="20"/>
    </row>
    <row r="53" spans="1:7" ht="19">
      <c r="A53" s="17" t="s">
        <v>41</v>
      </c>
      <c r="B53" s="18"/>
      <c r="C53" s="17" t="s">
        <v>629</v>
      </c>
      <c r="D53" s="17" t="s">
        <v>40</v>
      </c>
      <c r="E53" s="19">
        <v>12703</v>
      </c>
      <c r="F53" s="17" t="s">
        <v>457</v>
      </c>
      <c r="G53" s="20"/>
    </row>
    <row r="54" spans="1:7">
      <c r="A54" s="15" t="s">
        <v>627</v>
      </c>
    </row>
    <row r="55" spans="1:7">
      <c r="A55" s="15">
        <v>1</v>
      </c>
    </row>
    <row r="56" spans="1:7">
      <c r="A56" s="15">
        <v>2</v>
      </c>
    </row>
    <row r="57" spans="1:7">
      <c r="A57" s="15" t="s">
        <v>628</v>
      </c>
    </row>
    <row r="58" spans="1:7">
      <c r="A58" s="15" t="s">
        <v>635</v>
      </c>
    </row>
    <row r="59" spans="1:7">
      <c r="A59" s="15" t="s">
        <v>636</v>
      </c>
    </row>
    <row r="60" spans="1:7" ht="20">
      <c r="A60" s="21" t="s">
        <v>637</v>
      </c>
    </row>
    <row r="61" spans="1:7" ht="16">
      <c r="B61" s="3"/>
    </row>
    <row r="62" spans="1:7" ht="16">
      <c r="B62" s="3"/>
    </row>
    <row r="63" spans="1:7" ht="16">
      <c r="B63" s="3"/>
    </row>
    <row r="64" spans="1:7" ht="16">
      <c r="B64" s="3"/>
    </row>
    <row r="65" spans="2:6" ht="16">
      <c r="B65" s="3"/>
      <c r="F65" s="2"/>
    </row>
    <row r="66" spans="2:6" ht="16">
      <c r="B66" s="3"/>
      <c r="F66" s="2"/>
    </row>
    <row r="67" spans="2:6" ht="16">
      <c r="B67" s="3"/>
      <c r="F67" s="2"/>
    </row>
    <row r="68" spans="2:6" ht="16">
      <c r="B68" s="3"/>
      <c r="F68" s="2"/>
    </row>
    <row r="69" spans="2:6" ht="16">
      <c r="B69" s="3"/>
    </row>
    <row r="70" spans="2:6" ht="16">
      <c r="B70" s="3"/>
      <c r="F70" s="2"/>
    </row>
    <row r="71" spans="2:6" ht="16">
      <c r="B71" s="3"/>
      <c r="F71" s="2"/>
    </row>
    <row r="72" spans="2:6" ht="16">
      <c r="B72" s="3"/>
      <c r="F72" s="2"/>
    </row>
    <row r="73" spans="2:6" ht="16">
      <c r="B73" s="3"/>
      <c r="F73" s="2"/>
    </row>
    <row r="74" spans="2:6" ht="16">
      <c r="B74" s="3"/>
      <c r="F74" s="2"/>
    </row>
    <row r="75" spans="2:6" ht="16">
      <c r="B75" s="3"/>
      <c r="F75" s="2"/>
    </row>
    <row r="76" spans="2:6" ht="16">
      <c r="B76" s="3"/>
      <c r="F76" s="2"/>
    </row>
    <row r="77" spans="2:6" ht="16">
      <c r="B77" s="3"/>
      <c r="F77" s="2"/>
    </row>
    <row r="78" spans="2:6" ht="16">
      <c r="B78" s="3"/>
      <c r="F78" s="2"/>
    </row>
    <row r="79" spans="2:6" ht="16">
      <c r="B79" s="3"/>
      <c r="F79" s="2"/>
    </row>
    <row r="80" spans="2:6" ht="16">
      <c r="B80" s="3"/>
      <c r="F80" s="2"/>
    </row>
    <row r="81" spans="2:6" ht="16">
      <c r="B81" s="3"/>
      <c r="F81" s="2"/>
    </row>
    <row r="82" spans="2:6" ht="16">
      <c r="B82" s="3"/>
      <c r="F82" s="2"/>
    </row>
    <row r="83" spans="2:6" ht="16">
      <c r="B83" s="3"/>
    </row>
    <row r="84" spans="2:6" ht="16">
      <c r="B84" s="3"/>
      <c r="F84" s="2"/>
    </row>
    <row r="85" spans="2:6" ht="16">
      <c r="B85" s="3"/>
      <c r="F85" s="2"/>
    </row>
    <row r="86" spans="2:6" ht="16">
      <c r="B86" s="3"/>
      <c r="F86" s="2"/>
    </row>
    <row r="87" spans="2:6" ht="16">
      <c r="B87" s="3"/>
      <c r="F87" s="2"/>
    </row>
    <row r="88" spans="2:6" ht="16">
      <c r="B88" s="3"/>
    </row>
    <row r="89" spans="2:6" ht="16">
      <c r="B89" s="3"/>
    </row>
    <row r="90" spans="2:6" ht="16">
      <c r="B90" s="3"/>
    </row>
    <row r="91" spans="2:6" ht="16">
      <c r="B91" s="3"/>
      <c r="F91" s="2"/>
    </row>
    <row r="92" spans="2:6" ht="16">
      <c r="B92" s="3"/>
      <c r="F92" s="2"/>
    </row>
    <row r="93" spans="2:6" ht="16">
      <c r="B93" s="3"/>
      <c r="F93" s="2"/>
    </row>
    <row r="94" spans="2:6" ht="16">
      <c r="B94" s="3"/>
      <c r="F94" s="2"/>
    </row>
    <row r="95" spans="2:6" ht="16">
      <c r="B95" s="3"/>
      <c r="F95" s="2"/>
    </row>
    <row r="96" spans="2:6" ht="16">
      <c r="B96" s="3"/>
      <c r="F96" s="2"/>
    </row>
    <row r="97" spans="2:6" ht="16">
      <c r="B97" s="3"/>
      <c r="F97" s="2"/>
    </row>
    <row r="98" spans="2:6" ht="16">
      <c r="B98" s="3"/>
    </row>
    <row r="99" spans="2:6" ht="16">
      <c r="B99" s="3"/>
      <c r="F99" s="2"/>
    </row>
    <row r="100" spans="2:6" ht="16">
      <c r="B100" s="3"/>
    </row>
    <row r="101" spans="2:6" ht="16">
      <c r="B101" s="3"/>
    </row>
    <row r="102" spans="2:6" ht="16">
      <c r="B102" s="3"/>
      <c r="F102" s="2"/>
    </row>
    <row r="103" spans="2:6" ht="16">
      <c r="B103" s="3"/>
      <c r="F103" s="2"/>
    </row>
    <row r="104" spans="2:6" ht="16">
      <c r="B104" s="3"/>
      <c r="F104" s="2"/>
    </row>
    <row r="105" spans="2:6" ht="16">
      <c r="B105" s="3"/>
    </row>
    <row r="106" spans="2:6" ht="16">
      <c r="B106" s="3"/>
    </row>
    <row r="107" spans="2:6" ht="16">
      <c r="B107" s="3"/>
      <c r="F107" s="2"/>
    </row>
    <row r="108" spans="2:6" ht="16">
      <c r="B108" s="3"/>
    </row>
    <row r="109" spans="2:6" ht="16">
      <c r="B109" s="3"/>
    </row>
    <row r="110" spans="2:6" ht="16">
      <c r="B110" s="3"/>
    </row>
    <row r="111" spans="2:6" ht="16">
      <c r="B111" s="3"/>
    </row>
    <row r="112" spans="2:6" ht="16">
      <c r="B112" s="3"/>
    </row>
    <row r="113" spans="2:2" ht="16">
      <c r="B113" s="3"/>
    </row>
    <row r="114" spans="2:2" ht="16">
      <c r="B114" s="3"/>
    </row>
    <row r="115" spans="2:2" ht="16">
      <c r="B115" s="3"/>
    </row>
    <row r="117" spans="2:2" ht="16">
      <c r="B117" s="3"/>
    </row>
    <row r="118" spans="2:2" ht="16">
      <c r="B118" s="3"/>
    </row>
  </sheetData>
  <hyperlinks>
    <hyperlink ref="A54" r:id="rId1" display="https://marina.honline.hu/accounting" xr:uid="{9A9EB62E-C021-A54B-84D4-6DC91448859F}"/>
    <hyperlink ref="A55" r:id="rId2" display="https://marina.honline.hu/accounting" xr:uid="{CAF50F44-B05C-CF4E-8031-BB2190A89529}"/>
    <hyperlink ref="A56" r:id="rId3" display="https://marina.honline.hu/accounting" xr:uid="{31921CEB-4DDB-7242-84CD-B7B35DE17BF3}"/>
    <hyperlink ref="A57" r:id="rId4" display="https://marina.honline.hu/accounting" xr:uid="{5AF1012B-2863-4341-88BA-ED3E7874669A}"/>
    <hyperlink ref="A58" r:id="rId5" display="https://marina.honline.hu/atlathato-tarsashazkezeles-online" xr:uid="{1CD2E6FD-DB96-2D4C-A502-10313EC9DFB7}"/>
    <hyperlink ref="A59" r:id="rId6" display="mailto:info@honline.hu" xr:uid="{CE009FC5-B540-3743-959B-502098E495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7416-6EA1-954B-BE33-A9DBE267A0CC}">
  <sheetPr filterMode="1"/>
  <dimension ref="A1:I107"/>
  <sheetViews>
    <sheetView topLeftCell="D1" workbookViewId="0">
      <selection activeCell="A10" sqref="A10:H91"/>
    </sheetView>
  </sheetViews>
  <sheetFormatPr baseColWidth="10" defaultRowHeight="15"/>
  <cols>
    <col min="7" max="7" width="33.33203125" bestFit="1" customWidth="1"/>
    <col min="8" max="8" width="28.6640625" bestFit="1" customWidth="1"/>
  </cols>
  <sheetData>
    <row r="1" spans="1:9" ht="16">
      <c r="A1" s="3" t="s">
        <v>464</v>
      </c>
      <c r="B1" t="s">
        <v>0</v>
      </c>
      <c r="C1" t="s">
        <v>454</v>
      </c>
      <c r="D1" t="s">
        <v>455</v>
      </c>
      <c r="E1" t="s">
        <v>465</v>
      </c>
      <c r="F1" t="s">
        <v>2</v>
      </c>
      <c r="G1" t="s">
        <v>466</v>
      </c>
      <c r="H1" t="s">
        <v>467</v>
      </c>
      <c r="I1" t="s">
        <v>456</v>
      </c>
    </row>
    <row r="2" spans="1:9" ht="16" hidden="1">
      <c r="A2" s="3" t="s">
        <v>468</v>
      </c>
      <c r="B2" t="s">
        <v>141</v>
      </c>
      <c r="C2" t="s">
        <v>142</v>
      </c>
      <c r="E2" t="s">
        <v>469</v>
      </c>
      <c r="F2" s="2">
        <v>500000</v>
      </c>
      <c r="G2" t="s">
        <v>470</v>
      </c>
      <c r="H2" t="s">
        <v>471</v>
      </c>
      <c r="I2" t="s">
        <v>457</v>
      </c>
    </row>
    <row r="3" spans="1:9" ht="16" hidden="1">
      <c r="A3" s="3" t="s">
        <v>468</v>
      </c>
      <c r="B3" t="s">
        <v>141</v>
      </c>
      <c r="C3" t="s">
        <v>143</v>
      </c>
      <c r="E3" t="s">
        <v>469</v>
      </c>
      <c r="F3" s="2">
        <v>500000</v>
      </c>
      <c r="G3" t="s">
        <v>472</v>
      </c>
      <c r="H3" t="s">
        <v>471</v>
      </c>
      <c r="I3" t="s">
        <v>457</v>
      </c>
    </row>
    <row r="4" spans="1:9" ht="16" hidden="1">
      <c r="A4" s="3" t="s">
        <v>468</v>
      </c>
      <c r="B4" t="s">
        <v>141</v>
      </c>
      <c r="C4" t="s">
        <v>144</v>
      </c>
      <c r="E4" t="s">
        <v>469</v>
      </c>
      <c r="F4" s="2">
        <v>500000</v>
      </c>
      <c r="G4" t="s">
        <v>473</v>
      </c>
      <c r="H4" t="s">
        <v>471</v>
      </c>
      <c r="I4" t="s">
        <v>457</v>
      </c>
    </row>
    <row r="5" spans="1:9" ht="16" hidden="1">
      <c r="A5" s="3" t="s">
        <v>468</v>
      </c>
      <c r="B5" t="s">
        <v>141</v>
      </c>
      <c r="C5" t="s">
        <v>145</v>
      </c>
      <c r="E5" t="s">
        <v>469</v>
      </c>
      <c r="F5" s="2">
        <v>500000</v>
      </c>
      <c r="G5" t="s">
        <v>474</v>
      </c>
      <c r="H5" t="s">
        <v>471</v>
      </c>
      <c r="I5" t="s">
        <v>457</v>
      </c>
    </row>
    <row r="6" spans="1:9" ht="16" hidden="1">
      <c r="A6" s="3" t="s">
        <v>468</v>
      </c>
      <c r="B6" t="s">
        <v>141</v>
      </c>
      <c r="C6" t="s">
        <v>146</v>
      </c>
      <c r="E6" t="s">
        <v>469</v>
      </c>
      <c r="F6" s="2">
        <v>500000</v>
      </c>
      <c r="G6" t="s">
        <v>475</v>
      </c>
      <c r="H6" t="s">
        <v>471</v>
      </c>
      <c r="I6" t="s">
        <v>457</v>
      </c>
    </row>
    <row r="7" spans="1:9" ht="16" hidden="1">
      <c r="A7" s="3" t="s">
        <v>468</v>
      </c>
      <c r="B7" t="s">
        <v>141</v>
      </c>
      <c r="C7" t="s">
        <v>147</v>
      </c>
      <c r="E7" t="s">
        <v>469</v>
      </c>
      <c r="F7" s="2">
        <v>500000</v>
      </c>
      <c r="G7" t="s">
        <v>476</v>
      </c>
      <c r="H7" t="s">
        <v>471</v>
      </c>
      <c r="I7" t="s">
        <v>457</v>
      </c>
    </row>
    <row r="8" spans="1:9" ht="16" hidden="1">
      <c r="A8" s="3" t="s">
        <v>477</v>
      </c>
      <c r="B8" t="s">
        <v>106</v>
      </c>
      <c r="C8" t="s">
        <v>107</v>
      </c>
      <c r="E8" t="s">
        <v>469</v>
      </c>
      <c r="F8" s="2">
        <v>12500000</v>
      </c>
      <c r="G8" t="s">
        <v>478</v>
      </c>
      <c r="H8" t="s">
        <v>479</v>
      </c>
      <c r="I8" t="s">
        <v>457</v>
      </c>
    </row>
    <row r="9" spans="1:9" ht="16" hidden="1">
      <c r="A9" s="3" t="s">
        <v>477</v>
      </c>
      <c r="B9" t="s">
        <v>106</v>
      </c>
      <c r="C9" t="s">
        <v>108</v>
      </c>
      <c r="E9" t="s">
        <v>469</v>
      </c>
      <c r="F9" s="2">
        <v>12500000</v>
      </c>
      <c r="G9" t="s">
        <v>480</v>
      </c>
      <c r="H9" t="s">
        <v>479</v>
      </c>
      <c r="I9" t="s">
        <v>457</v>
      </c>
    </row>
    <row r="10" spans="1:9" ht="16">
      <c r="A10" s="3" t="s">
        <v>477</v>
      </c>
      <c r="B10" t="s">
        <v>106</v>
      </c>
      <c r="C10" t="s">
        <v>109</v>
      </c>
      <c r="E10" t="s">
        <v>469</v>
      </c>
      <c r="F10" s="2">
        <v>12500000</v>
      </c>
      <c r="G10" t="s">
        <v>481</v>
      </c>
      <c r="H10" t="s">
        <v>479</v>
      </c>
      <c r="I10" t="s">
        <v>457</v>
      </c>
    </row>
    <row r="11" spans="1:9" ht="16" hidden="1">
      <c r="A11" s="3" t="s">
        <v>477</v>
      </c>
      <c r="B11" t="s">
        <v>106</v>
      </c>
      <c r="C11" t="s">
        <v>110</v>
      </c>
      <c r="E11" t="s">
        <v>469</v>
      </c>
      <c r="F11" s="2">
        <v>12500000</v>
      </c>
      <c r="G11" t="s">
        <v>482</v>
      </c>
      <c r="H11" t="s">
        <v>479</v>
      </c>
      <c r="I11" t="s">
        <v>457</v>
      </c>
    </row>
    <row r="12" spans="1:9" ht="16" hidden="1">
      <c r="A12" s="3" t="s">
        <v>483</v>
      </c>
      <c r="B12" t="s">
        <v>130</v>
      </c>
      <c r="C12" t="s">
        <v>131</v>
      </c>
      <c r="E12" t="s">
        <v>484</v>
      </c>
      <c r="F12" s="2">
        <v>3000000</v>
      </c>
      <c r="G12" t="s">
        <v>485</v>
      </c>
      <c r="H12" t="s">
        <v>486</v>
      </c>
      <c r="I12" t="s">
        <v>457</v>
      </c>
    </row>
    <row r="13" spans="1:9" ht="16" hidden="1">
      <c r="A13" s="3" t="s">
        <v>487</v>
      </c>
      <c r="B13" t="s">
        <v>130</v>
      </c>
      <c r="C13" t="s">
        <v>132</v>
      </c>
      <c r="E13" t="s">
        <v>488</v>
      </c>
      <c r="F13" s="2">
        <v>4500</v>
      </c>
      <c r="G13" t="s">
        <v>489</v>
      </c>
      <c r="H13" t="s">
        <v>485</v>
      </c>
      <c r="I13" t="s">
        <v>457</v>
      </c>
    </row>
    <row r="14" spans="1:9" ht="16" hidden="1">
      <c r="A14" s="3" t="s">
        <v>490</v>
      </c>
      <c r="B14" t="s">
        <v>122</v>
      </c>
      <c r="C14" t="s">
        <v>123</v>
      </c>
      <c r="E14" t="s">
        <v>488</v>
      </c>
      <c r="F14">
        <v>255</v>
      </c>
      <c r="G14" t="s">
        <v>489</v>
      </c>
      <c r="H14" t="s">
        <v>485</v>
      </c>
      <c r="I14" t="s">
        <v>457</v>
      </c>
    </row>
    <row r="15" spans="1:9" ht="16" hidden="1">
      <c r="A15" s="3" t="s">
        <v>490</v>
      </c>
      <c r="B15" t="s">
        <v>122</v>
      </c>
      <c r="C15" t="s">
        <v>124</v>
      </c>
      <c r="E15" t="s">
        <v>488</v>
      </c>
      <c r="F15">
        <v>764</v>
      </c>
      <c r="G15" t="s">
        <v>489</v>
      </c>
      <c r="H15" t="s">
        <v>485</v>
      </c>
      <c r="I15" t="s">
        <v>457</v>
      </c>
    </row>
    <row r="16" spans="1:9" ht="16" hidden="1">
      <c r="A16" s="3" t="s">
        <v>491</v>
      </c>
      <c r="B16" t="s">
        <v>122</v>
      </c>
      <c r="C16" t="s">
        <v>125</v>
      </c>
      <c r="E16" t="s">
        <v>492</v>
      </c>
      <c r="F16">
        <v>7</v>
      </c>
      <c r="G16" t="s">
        <v>485</v>
      </c>
      <c r="H16" t="s">
        <v>493</v>
      </c>
      <c r="I16" t="s">
        <v>457</v>
      </c>
    </row>
    <row r="17" spans="1:9" ht="16" hidden="1">
      <c r="A17" s="3" t="s">
        <v>491</v>
      </c>
      <c r="B17" t="s">
        <v>130</v>
      </c>
      <c r="C17" t="s">
        <v>133</v>
      </c>
      <c r="E17" t="s">
        <v>492</v>
      </c>
      <c r="F17">
        <v>1</v>
      </c>
      <c r="G17" t="s">
        <v>485</v>
      </c>
      <c r="H17" t="s">
        <v>493</v>
      </c>
      <c r="I17" t="s">
        <v>457</v>
      </c>
    </row>
    <row r="18" spans="1:9" ht="16" hidden="1">
      <c r="A18" s="3" t="s">
        <v>494</v>
      </c>
      <c r="B18" t="s">
        <v>166</v>
      </c>
      <c r="C18" t="s">
        <v>167</v>
      </c>
      <c r="E18" t="s">
        <v>488</v>
      </c>
      <c r="F18" s="2">
        <v>255000</v>
      </c>
      <c r="G18" t="s">
        <v>495</v>
      </c>
      <c r="H18" t="s">
        <v>486</v>
      </c>
      <c r="I18" t="s">
        <v>460</v>
      </c>
    </row>
    <row r="19" spans="1:9" ht="16" hidden="1">
      <c r="A19" s="3" t="s">
        <v>496</v>
      </c>
      <c r="B19" t="s">
        <v>154</v>
      </c>
      <c r="C19" t="s">
        <v>155</v>
      </c>
      <c r="E19" t="s">
        <v>497</v>
      </c>
      <c r="F19" s="2">
        <v>395000</v>
      </c>
      <c r="G19" t="s">
        <v>495</v>
      </c>
      <c r="H19" t="s">
        <v>495</v>
      </c>
      <c r="I19" t="s">
        <v>457</v>
      </c>
    </row>
    <row r="20" spans="1:9" ht="16" hidden="1">
      <c r="A20" s="3" t="s">
        <v>498</v>
      </c>
      <c r="B20" t="s">
        <v>166</v>
      </c>
      <c r="C20" t="s">
        <v>168</v>
      </c>
      <c r="E20" t="s">
        <v>497</v>
      </c>
      <c r="F20" s="2">
        <v>255000</v>
      </c>
      <c r="G20" t="s">
        <v>495</v>
      </c>
      <c r="H20" t="s">
        <v>495</v>
      </c>
      <c r="I20" t="s">
        <v>457</v>
      </c>
    </row>
    <row r="21" spans="1:9" ht="16" hidden="1">
      <c r="A21" s="3" t="s">
        <v>499</v>
      </c>
      <c r="B21" t="s">
        <v>154</v>
      </c>
      <c r="C21" t="s">
        <v>156</v>
      </c>
      <c r="E21" t="s">
        <v>497</v>
      </c>
      <c r="F21" s="2">
        <v>500000</v>
      </c>
      <c r="G21" t="s">
        <v>495</v>
      </c>
      <c r="H21" t="s">
        <v>495</v>
      </c>
      <c r="I21" t="s">
        <v>457</v>
      </c>
    </row>
    <row r="22" spans="1:9" ht="16" hidden="1">
      <c r="A22" s="3" t="s">
        <v>499</v>
      </c>
      <c r="B22" t="s">
        <v>154</v>
      </c>
      <c r="C22" t="s">
        <v>157</v>
      </c>
      <c r="E22" t="s">
        <v>497</v>
      </c>
      <c r="F22" s="2">
        <v>245000</v>
      </c>
      <c r="G22" t="s">
        <v>495</v>
      </c>
      <c r="H22" t="s">
        <v>495</v>
      </c>
      <c r="I22" t="s">
        <v>457</v>
      </c>
    </row>
    <row r="23" spans="1:9" ht="16" hidden="1">
      <c r="A23" s="3" t="s">
        <v>500</v>
      </c>
      <c r="B23" t="s">
        <v>154</v>
      </c>
      <c r="C23" t="s">
        <v>158</v>
      </c>
      <c r="E23" t="s">
        <v>497</v>
      </c>
      <c r="F23" s="2">
        <v>500000</v>
      </c>
      <c r="G23" t="s">
        <v>495</v>
      </c>
      <c r="H23" t="s">
        <v>495</v>
      </c>
      <c r="I23" t="s">
        <v>457</v>
      </c>
    </row>
    <row r="24" spans="1:9" ht="16" hidden="1">
      <c r="A24" s="3" t="s">
        <v>500</v>
      </c>
      <c r="B24" t="s">
        <v>154</v>
      </c>
      <c r="C24" t="s">
        <v>159</v>
      </c>
      <c r="E24" t="s">
        <v>497</v>
      </c>
      <c r="F24" s="2">
        <v>500000</v>
      </c>
      <c r="G24" t="s">
        <v>495</v>
      </c>
      <c r="H24" t="s">
        <v>495</v>
      </c>
      <c r="I24" t="s">
        <v>457</v>
      </c>
    </row>
    <row r="25" spans="1:9" ht="16" hidden="1">
      <c r="A25" s="3" t="s">
        <v>501</v>
      </c>
      <c r="B25" t="s">
        <v>166</v>
      </c>
      <c r="C25" t="s">
        <v>169</v>
      </c>
      <c r="E25" t="s">
        <v>488</v>
      </c>
      <c r="F25" s="2">
        <v>105000</v>
      </c>
      <c r="G25" t="s">
        <v>495</v>
      </c>
      <c r="H25" t="s">
        <v>502</v>
      </c>
      <c r="I25" t="s">
        <v>457</v>
      </c>
    </row>
    <row r="26" spans="1:9" ht="16" hidden="1">
      <c r="A26" s="3" t="s">
        <v>503</v>
      </c>
      <c r="B26" t="s">
        <v>166</v>
      </c>
      <c r="C26" t="s">
        <v>170</v>
      </c>
      <c r="E26" t="s">
        <v>497</v>
      </c>
      <c r="F26" s="2">
        <v>105000</v>
      </c>
      <c r="G26" t="s">
        <v>495</v>
      </c>
      <c r="H26" t="s">
        <v>495</v>
      </c>
      <c r="I26" t="s">
        <v>457</v>
      </c>
    </row>
    <row r="27" spans="1:9" ht="16" hidden="1">
      <c r="A27" s="3" t="s">
        <v>504</v>
      </c>
      <c r="B27" t="s">
        <v>141</v>
      </c>
      <c r="C27" t="s">
        <v>148</v>
      </c>
      <c r="E27" t="s">
        <v>469</v>
      </c>
      <c r="F27" s="2">
        <v>172000</v>
      </c>
      <c r="G27" t="s">
        <v>495</v>
      </c>
      <c r="H27" t="s">
        <v>495</v>
      </c>
      <c r="I27" t="s">
        <v>457</v>
      </c>
    </row>
    <row r="28" spans="1:9" ht="16" hidden="1">
      <c r="A28" s="3" t="s">
        <v>504</v>
      </c>
      <c r="B28" t="s">
        <v>141</v>
      </c>
      <c r="C28" t="s">
        <v>149</v>
      </c>
      <c r="E28" t="s">
        <v>469</v>
      </c>
      <c r="F28" s="2">
        <v>172000</v>
      </c>
      <c r="G28" t="s">
        <v>495</v>
      </c>
      <c r="H28" t="s">
        <v>495</v>
      </c>
      <c r="I28" t="s">
        <v>457</v>
      </c>
    </row>
    <row r="29" spans="1:9" ht="16" hidden="1">
      <c r="A29" s="3" t="s">
        <v>504</v>
      </c>
      <c r="B29" t="s">
        <v>141</v>
      </c>
      <c r="C29" t="s">
        <v>150</v>
      </c>
      <c r="E29" t="s">
        <v>469</v>
      </c>
      <c r="F29" s="2">
        <v>172000</v>
      </c>
      <c r="G29" t="s">
        <v>495</v>
      </c>
      <c r="H29" t="s">
        <v>495</v>
      </c>
      <c r="I29" t="s">
        <v>457</v>
      </c>
    </row>
    <row r="30" spans="1:9" ht="16" hidden="1">
      <c r="A30" s="3" t="s">
        <v>504</v>
      </c>
      <c r="B30" t="s">
        <v>141</v>
      </c>
      <c r="C30" t="s">
        <v>151</v>
      </c>
      <c r="E30" t="s">
        <v>469</v>
      </c>
      <c r="F30" s="2">
        <v>172000</v>
      </c>
      <c r="G30" t="s">
        <v>495</v>
      </c>
      <c r="H30" t="s">
        <v>495</v>
      </c>
      <c r="I30" t="s">
        <v>457</v>
      </c>
    </row>
    <row r="31" spans="1:9" ht="16" hidden="1">
      <c r="A31" s="3" t="s">
        <v>504</v>
      </c>
      <c r="B31" t="s">
        <v>141</v>
      </c>
      <c r="C31" t="s">
        <v>152</v>
      </c>
      <c r="E31" t="s">
        <v>469</v>
      </c>
      <c r="F31" s="2">
        <v>60000</v>
      </c>
      <c r="G31" t="s">
        <v>505</v>
      </c>
      <c r="H31" t="s">
        <v>506</v>
      </c>
      <c r="I31" t="s">
        <v>457</v>
      </c>
    </row>
    <row r="32" spans="1:9" ht="16" hidden="1">
      <c r="A32" s="3" t="s">
        <v>504</v>
      </c>
      <c r="B32" t="s">
        <v>141</v>
      </c>
      <c r="C32" t="s">
        <v>153</v>
      </c>
      <c r="E32" t="s">
        <v>469</v>
      </c>
      <c r="F32" s="2">
        <v>172000</v>
      </c>
      <c r="G32" t="s">
        <v>495</v>
      </c>
      <c r="H32" t="s">
        <v>495</v>
      </c>
      <c r="I32" t="s">
        <v>457</v>
      </c>
    </row>
    <row r="33" spans="1:9" ht="16" hidden="1">
      <c r="A33" s="3" t="s">
        <v>507</v>
      </c>
      <c r="B33" t="s">
        <v>154</v>
      </c>
      <c r="C33" t="s">
        <v>160</v>
      </c>
      <c r="E33" t="s">
        <v>497</v>
      </c>
      <c r="F33" s="2">
        <v>172000</v>
      </c>
      <c r="G33" t="s">
        <v>495</v>
      </c>
      <c r="H33" t="s">
        <v>495</v>
      </c>
      <c r="I33" t="s">
        <v>457</v>
      </c>
    </row>
    <row r="34" spans="1:9" ht="16">
      <c r="A34" s="3" t="s">
        <v>508</v>
      </c>
      <c r="B34" t="s">
        <v>154</v>
      </c>
      <c r="C34" t="s">
        <v>161</v>
      </c>
      <c r="E34" t="s">
        <v>497</v>
      </c>
      <c r="F34" s="2">
        <v>172000</v>
      </c>
      <c r="G34" t="s">
        <v>495</v>
      </c>
      <c r="H34" t="s">
        <v>495</v>
      </c>
      <c r="I34" t="s">
        <v>457</v>
      </c>
    </row>
    <row r="35" spans="1:9" ht="16" hidden="1">
      <c r="A35" s="3" t="s">
        <v>508</v>
      </c>
      <c r="B35" t="s">
        <v>154</v>
      </c>
      <c r="C35" t="s">
        <v>162</v>
      </c>
      <c r="E35" t="s">
        <v>497</v>
      </c>
      <c r="F35" s="2">
        <v>172000</v>
      </c>
      <c r="G35" t="s">
        <v>495</v>
      </c>
      <c r="H35" t="s">
        <v>495</v>
      </c>
      <c r="I35" t="s">
        <v>457</v>
      </c>
    </row>
    <row r="36" spans="1:9" ht="16" hidden="1">
      <c r="A36" s="3" t="s">
        <v>509</v>
      </c>
      <c r="B36" t="s">
        <v>154</v>
      </c>
      <c r="C36" t="s">
        <v>163</v>
      </c>
      <c r="E36" t="s">
        <v>497</v>
      </c>
      <c r="F36" s="2">
        <v>172000</v>
      </c>
      <c r="G36" t="s">
        <v>495</v>
      </c>
      <c r="H36" t="s">
        <v>495</v>
      </c>
      <c r="I36" t="s">
        <v>457</v>
      </c>
    </row>
    <row r="37" spans="1:9" ht="16" hidden="1">
      <c r="A37" s="3" t="s">
        <v>510</v>
      </c>
      <c r="B37" t="s">
        <v>154</v>
      </c>
      <c r="C37" t="s">
        <v>164</v>
      </c>
      <c r="E37" t="s">
        <v>497</v>
      </c>
      <c r="F37" s="2">
        <v>112000</v>
      </c>
      <c r="G37" t="s">
        <v>495</v>
      </c>
      <c r="H37" t="s">
        <v>495</v>
      </c>
      <c r="I37" t="s">
        <v>457</v>
      </c>
    </row>
    <row r="38" spans="1:9" ht="16" hidden="1">
      <c r="A38" s="3" t="s">
        <v>511</v>
      </c>
      <c r="B38" t="s">
        <v>122</v>
      </c>
      <c r="C38" t="s">
        <v>126</v>
      </c>
      <c r="E38" t="s">
        <v>512</v>
      </c>
      <c r="F38" s="2">
        <v>3000000</v>
      </c>
      <c r="G38" t="s">
        <v>513</v>
      </c>
      <c r="H38" t="s">
        <v>514</v>
      </c>
      <c r="I38" t="s">
        <v>515</v>
      </c>
    </row>
    <row r="39" spans="1:9" ht="16" hidden="1">
      <c r="A39" s="3" t="s">
        <v>516</v>
      </c>
      <c r="B39" t="s">
        <v>122</v>
      </c>
      <c r="C39" t="s">
        <v>127</v>
      </c>
      <c r="E39" t="s">
        <v>512</v>
      </c>
      <c r="F39" s="2">
        <v>365519</v>
      </c>
      <c r="G39" t="s">
        <v>495</v>
      </c>
      <c r="H39" t="s">
        <v>517</v>
      </c>
      <c r="I39" t="s">
        <v>518</v>
      </c>
    </row>
    <row r="40" spans="1:9" ht="16" hidden="1">
      <c r="A40" s="3" t="s">
        <v>519</v>
      </c>
      <c r="B40" t="s">
        <v>98</v>
      </c>
      <c r="C40" t="s">
        <v>99</v>
      </c>
      <c r="E40" t="s">
        <v>497</v>
      </c>
      <c r="F40" s="2">
        <v>2500000</v>
      </c>
      <c r="G40" t="s">
        <v>495</v>
      </c>
      <c r="H40" t="s">
        <v>495</v>
      </c>
      <c r="I40" t="s">
        <v>457</v>
      </c>
    </row>
    <row r="41" spans="1:9" ht="16" hidden="1">
      <c r="A41" s="3" t="s">
        <v>519</v>
      </c>
      <c r="B41" t="s">
        <v>102</v>
      </c>
      <c r="C41" t="s">
        <v>103</v>
      </c>
      <c r="E41" t="s">
        <v>497</v>
      </c>
      <c r="F41" s="2">
        <v>10000000</v>
      </c>
      <c r="G41" t="s">
        <v>495</v>
      </c>
      <c r="H41" t="s">
        <v>495</v>
      </c>
      <c r="I41" t="s">
        <v>457</v>
      </c>
    </row>
    <row r="42" spans="1:9" ht="16" hidden="1">
      <c r="A42" s="3" t="s">
        <v>520</v>
      </c>
      <c r="B42" t="s">
        <v>93</v>
      </c>
      <c r="C42" t="s">
        <v>94</v>
      </c>
      <c r="E42" t="s">
        <v>497</v>
      </c>
      <c r="F42" s="2">
        <v>12500000</v>
      </c>
      <c r="G42" t="s">
        <v>495</v>
      </c>
      <c r="H42" t="s">
        <v>495</v>
      </c>
      <c r="I42" t="s">
        <v>457</v>
      </c>
    </row>
    <row r="43" spans="1:9" ht="16" hidden="1">
      <c r="A43" s="3" t="s">
        <v>520</v>
      </c>
      <c r="B43" t="s">
        <v>96</v>
      </c>
      <c r="C43" t="s">
        <v>97</v>
      </c>
      <c r="E43" t="s">
        <v>497</v>
      </c>
      <c r="F43" s="2">
        <v>12500000</v>
      </c>
      <c r="G43" t="s">
        <v>495</v>
      </c>
      <c r="H43" t="s">
        <v>495</v>
      </c>
      <c r="I43" t="s">
        <v>457</v>
      </c>
    </row>
    <row r="44" spans="1:9" ht="16" hidden="1">
      <c r="A44" s="3" t="s">
        <v>521</v>
      </c>
      <c r="B44" t="s">
        <v>98</v>
      </c>
      <c r="C44" t="s">
        <v>100</v>
      </c>
      <c r="E44" t="s">
        <v>497</v>
      </c>
      <c r="F44" s="2">
        <v>11500000</v>
      </c>
      <c r="G44" t="s">
        <v>495</v>
      </c>
      <c r="H44" t="s">
        <v>495</v>
      </c>
      <c r="I44" t="s">
        <v>457</v>
      </c>
    </row>
    <row r="45" spans="1:9" ht="16" hidden="1">
      <c r="A45" s="3" t="s">
        <v>521</v>
      </c>
      <c r="B45" t="s">
        <v>104</v>
      </c>
      <c r="C45" t="s">
        <v>105</v>
      </c>
      <c r="E45" t="s">
        <v>488</v>
      </c>
      <c r="F45">
        <v>764</v>
      </c>
      <c r="G45" t="s">
        <v>489</v>
      </c>
      <c r="H45" t="s">
        <v>485</v>
      </c>
      <c r="I45" t="s">
        <v>457</v>
      </c>
    </row>
    <row r="46" spans="1:9" ht="16" hidden="1">
      <c r="A46" s="3" t="s">
        <v>522</v>
      </c>
      <c r="B46" t="s">
        <v>98</v>
      </c>
      <c r="C46" t="s">
        <v>101</v>
      </c>
      <c r="E46" t="s">
        <v>488</v>
      </c>
      <c r="F46">
        <v>148</v>
      </c>
      <c r="G46" t="s">
        <v>489</v>
      </c>
      <c r="H46" t="s">
        <v>485</v>
      </c>
      <c r="I46" t="s">
        <v>457</v>
      </c>
    </row>
    <row r="47" spans="1:9" ht="16" hidden="1">
      <c r="A47" s="3" t="s">
        <v>523</v>
      </c>
      <c r="B47" t="s">
        <v>93</v>
      </c>
      <c r="C47" t="s">
        <v>95</v>
      </c>
      <c r="E47" t="s">
        <v>488</v>
      </c>
      <c r="F47" s="2">
        <v>43000000</v>
      </c>
      <c r="G47" t="s">
        <v>524</v>
      </c>
      <c r="H47" t="s">
        <v>485</v>
      </c>
      <c r="I47" t="s">
        <v>461</v>
      </c>
    </row>
    <row r="48" spans="1:9" ht="16" hidden="1">
      <c r="A48" s="3" t="s">
        <v>525</v>
      </c>
      <c r="B48" t="s">
        <v>120</v>
      </c>
      <c r="C48" t="s">
        <v>121</v>
      </c>
      <c r="E48" t="s">
        <v>512</v>
      </c>
      <c r="F48" s="2">
        <v>5511</v>
      </c>
      <c r="G48" t="s">
        <v>526</v>
      </c>
      <c r="H48" t="s">
        <v>527</v>
      </c>
      <c r="I48" t="s">
        <v>457</v>
      </c>
    </row>
    <row r="49" spans="1:9" ht="16" hidden="1">
      <c r="A49" s="3" t="s">
        <v>528</v>
      </c>
      <c r="B49" t="s">
        <v>89</v>
      </c>
      <c r="C49" t="s">
        <v>90</v>
      </c>
      <c r="E49" t="s">
        <v>512</v>
      </c>
      <c r="F49" s="2">
        <v>50000000</v>
      </c>
      <c r="G49" t="s">
        <v>529</v>
      </c>
      <c r="H49" t="s">
        <v>514</v>
      </c>
      <c r="I49" t="s">
        <v>457</v>
      </c>
    </row>
    <row r="50" spans="1:9" ht="16" hidden="1">
      <c r="A50" s="3" t="s">
        <v>530</v>
      </c>
      <c r="B50" t="s">
        <v>154</v>
      </c>
      <c r="C50" t="s">
        <v>165</v>
      </c>
      <c r="E50" t="s">
        <v>497</v>
      </c>
      <c r="F50" s="2">
        <v>60000</v>
      </c>
      <c r="G50" t="s">
        <v>495</v>
      </c>
      <c r="H50" t="s">
        <v>495</v>
      </c>
      <c r="I50" t="s">
        <v>457</v>
      </c>
    </row>
    <row r="51" spans="1:9" ht="16">
      <c r="A51" s="3" t="s">
        <v>531</v>
      </c>
      <c r="B51" t="s">
        <v>134</v>
      </c>
      <c r="C51" t="s">
        <v>135</v>
      </c>
      <c r="E51" t="s">
        <v>532</v>
      </c>
      <c r="F51" s="2">
        <v>130000</v>
      </c>
      <c r="G51" t="s">
        <v>495</v>
      </c>
      <c r="H51" t="s">
        <v>533</v>
      </c>
      <c r="I51" t="s">
        <v>457</v>
      </c>
    </row>
    <row r="52" spans="1:9" ht="16" hidden="1">
      <c r="A52" s="3" t="s">
        <v>534</v>
      </c>
      <c r="B52" t="s">
        <v>136</v>
      </c>
      <c r="C52" t="s">
        <v>137</v>
      </c>
      <c r="E52" t="s">
        <v>535</v>
      </c>
      <c r="F52" s="2">
        <v>30000</v>
      </c>
      <c r="G52" t="s">
        <v>533</v>
      </c>
      <c r="H52" t="s">
        <v>536</v>
      </c>
      <c r="I52" t="s">
        <v>457</v>
      </c>
    </row>
    <row r="53" spans="1:9" ht="16" hidden="1">
      <c r="A53" s="3" t="s">
        <v>537</v>
      </c>
      <c r="B53" t="s">
        <v>136</v>
      </c>
      <c r="C53" t="s">
        <v>138</v>
      </c>
      <c r="E53" t="s">
        <v>535</v>
      </c>
      <c r="F53" s="2">
        <v>30000</v>
      </c>
      <c r="G53" t="s">
        <v>533</v>
      </c>
      <c r="H53" t="s">
        <v>536</v>
      </c>
      <c r="I53" t="s">
        <v>457</v>
      </c>
    </row>
    <row r="54" spans="1:9" ht="16" hidden="1">
      <c r="A54" s="3" t="s">
        <v>538</v>
      </c>
      <c r="B54" t="s">
        <v>136</v>
      </c>
      <c r="C54" t="s">
        <v>139</v>
      </c>
      <c r="E54" t="s">
        <v>535</v>
      </c>
      <c r="F54" s="2">
        <v>30000</v>
      </c>
      <c r="G54" t="s">
        <v>533</v>
      </c>
      <c r="H54" t="s">
        <v>536</v>
      </c>
      <c r="I54" t="s">
        <v>457</v>
      </c>
    </row>
    <row r="55" spans="1:9" ht="16" hidden="1">
      <c r="A55" s="3" t="s">
        <v>538</v>
      </c>
      <c r="B55" t="s">
        <v>136</v>
      </c>
      <c r="C55" t="s">
        <v>140</v>
      </c>
      <c r="E55" t="s">
        <v>535</v>
      </c>
      <c r="F55" s="2">
        <v>30000</v>
      </c>
      <c r="G55" t="s">
        <v>533</v>
      </c>
      <c r="H55" t="s">
        <v>536</v>
      </c>
      <c r="I55" t="s">
        <v>457</v>
      </c>
    </row>
    <row r="56" spans="1:9" ht="16" hidden="1">
      <c r="A56" s="3" t="s">
        <v>539</v>
      </c>
      <c r="B56" t="s">
        <v>89</v>
      </c>
      <c r="C56" t="s">
        <v>91</v>
      </c>
      <c r="E56" t="s">
        <v>488</v>
      </c>
      <c r="F56" s="2">
        <v>20000</v>
      </c>
      <c r="G56" t="s">
        <v>489</v>
      </c>
      <c r="H56" t="s">
        <v>485</v>
      </c>
      <c r="I56" t="s">
        <v>457</v>
      </c>
    </row>
    <row r="57" spans="1:9" ht="16" hidden="1">
      <c r="A57" s="3" t="s">
        <v>540</v>
      </c>
      <c r="B57" t="s">
        <v>89</v>
      </c>
      <c r="C57" t="s">
        <v>92</v>
      </c>
      <c r="E57" t="s">
        <v>488</v>
      </c>
      <c r="F57">
        <v>764</v>
      </c>
      <c r="G57" t="s">
        <v>489</v>
      </c>
      <c r="H57" t="s">
        <v>485</v>
      </c>
      <c r="I57" t="s">
        <v>457</v>
      </c>
    </row>
    <row r="58" spans="1:9" ht="16" hidden="1">
      <c r="A58" s="3" t="s">
        <v>541</v>
      </c>
      <c r="B58" t="s">
        <v>87</v>
      </c>
      <c r="C58" t="s">
        <v>88</v>
      </c>
      <c r="E58" t="s">
        <v>542</v>
      </c>
      <c r="F58" s="2">
        <v>80000</v>
      </c>
      <c r="G58" t="s">
        <v>543</v>
      </c>
      <c r="H58" t="s">
        <v>544</v>
      </c>
      <c r="I58" t="s">
        <v>545</v>
      </c>
    </row>
    <row r="59" spans="1:9" ht="16" hidden="1">
      <c r="A59" s="3" t="s">
        <v>546</v>
      </c>
      <c r="B59" t="s">
        <v>83</v>
      </c>
      <c r="C59" t="s">
        <v>84</v>
      </c>
      <c r="E59" t="s">
        <v>532</v>
      </c>
      <c r="F59" s="2">
        <v>21200</v>
      </c>
      <c r="G59" t="s">
        <v>547</v>
      </c>
      <c r="H59" t="s">
        <v>533</v>
      </c>
      <c r="I59" t="s">
        <v>457</v>
      </c>
    </row>
    <row r="60" spans="1:9" ht="16" hidden="1">
      <c r="A60" s="3" t="s">
        <v>548</v>
      </c>
      <c r="B60" t="s">
        <v>85</v>
      </c>
      <c r="C60" t="s">
        <v>86</v>
      </c>
      <c r="E60" t="s">
        <v>549</v>
      </c>
      <c r="F60" s="2">
        <v>80000</v>
      </c>
      <c r="G60" t="s">
        <v>495</v>
      </c>
      <c r="H60" t="s">
        <v>495</v>
      </c>
      <c r="I60" t="s">
        <v>457</v>
      </c>
    </row>
    <row r="61" spans="1:9" ht="16" hidden="1">
      <c r="A61" s="3" t="s">
        <v>550</v>
      </c>
      <c r="B61" t="s">
        <v>77</v>
      </c>
      <c r="C61" t="s">
        <v>78</v>
      </c>
      <c r="E61" t="s">
        <v>492</v>
      </c>
      <c r="F61">
        <v>163</v>
      </c>
      <c r="G61" t="s">
        <v>485</v>
      </c>
      <c r="H61" t="s">
        <v>493</v>
      </c>
      <c r="I61" t="s">
        <v>457</v>
      </c>
    </row>
    <row r="62" spans="1:9" ht="16" hidden="1">
      <c r="A62" s="3" t="s">
        <v>551</v>
      </c>
      <c r="B62" t="s">
        <v>77</v>
      </c>
      <c r="C62" t="s">
        <v>79</v>
      </c>
      <c r="E62" t="s">
        <v>488</v>
      </c>
      <c r="F62">
        <v>764</v>
      </c>
      <c r="G62" t="s">
        <v>489</v>
      </c>
      <c r="H62" t="s">
        <v>485</v>
      </c>
      <c r="I62" t="s">
        <v>457</v>
      </c>
    </row>
    <row r="63" spans="1:9" ht="16" hidden="1">
      <c r="A63" s="3" t="s">
        <v>551</v>
      </c>
      <c r="B63" t="s">
        <v>77</v>
      </c>
      <c r="C63" t="s">
        <v>80</v>
      </c>
      <c r="E63" t="s">
        <v>488</v>
      </c>
      <c r="F63">
        <v>360</v>
      </c>
      <c r="G63" t="s">
        <v>489</v>
      </c>
      <c r="H63" t="s">
        <v>485</v>
      </c>
      <c r="I63" t="s">
        <v>457</v>
      </c>
    </row>
    <row r="64" spans="1:9" ht="16" hidden="1">
      <c r="A64" s="3" t="s">
        <v>552</v>
      </c>
      <c r="B64" t="s">
        <v>73</v>
      </c>
      <c r="C64" t="s">
        <v>74</v>
      </c>
      <c r="E64" t="s">
        <v>488</v>
      </c>
      <c r="F64">
        <v>792</v>
      </c>
      <c r="G64" t="s">
        <v>489</v>
      </c>
      <c r="H64" t="s">
        <v>485</v>
      </c>
      <c r="I64" t="s">
        <v>457</v>
      </c>
    </row>
    <row r="65" spans="1:9" ht="16" hidden="1">
      <c r="A65" s="3" t="s">
        <v>553</v>
      </c>
      <c r="B65" t="s">
        <v>75</v>
      </c>
      <c r="C65" t="s">
        <v>76</v>
      </c>
      <c r="E65" t="s">
        <v>488</v>
      </c>
      <c r="F65" s="2">
        <v>30001</v>
      </c>
      <c r="G65" t="s">
        <v>554</v>
      </c>
      <c r="H65" t="s">
        <v>485</v>
      </c>
      <c r="I65" t="s">
        <v>457</v>
      </c>
    </row>
    <row r="66" spans="1:9" ht="16" hidden="1">
      <c r="A66" s="3" t="s">
        <v>555</v>
      </c>
      <c r="B66" t="s">
        <v>65</v>
      </c>
      <c r="C66" t="s">
        <v>66</v>
      </c>
      <c r="E66" t="s">
        <v>542</v>
      </c>
      <c r="F66" s="2">
        <v>160000</v>
      </c>
      <c r="G66" t="s">
        <v>543</v>
      </c>
      <c r="H66" t="s">
        <v>544</v>
      </c>
      <c r="I66" t="s">
        <v>556</v>
      </c>
    </row>
    <row r="67" spans="1:9" ht="16" hidden="1">
      <c r="A67" s="3" t="s">
        <v>557</v>
      </c>
      <c r="B67" t="s">
        <v>67</v>
      </c>
      <c r="C67" t="s">
        <v>68</v>
      </c>
      <c r="E67" t="s">
        <v>488</v>
      </c>
      <c r="F67" s="2">
        <v>31504</v>
      </c>
      <c r="G67" t="s">
        <v>554</v>
      </c>
      <c r="H67" t="s">
        <v>485</v>
      </c>
      <c r="I67" t="s">
        <v>457</v>
      </c>
    </row>
    <row r="68" spans="1:9" ht="16" hidden="1">
      <c r="A68" s="3" t="s">
        <v>557</v>
      </c>
      <c r="B68" t="s">
        <v>69</v>
      </c>
      <c r="C68" t="s">
        <v>70</v>
      </c>
      <c r="E68" t="s">
        <v>488</v>
      </c>
      <c r="F68" s="2">
        <v>31693</v>
      </c>
      <c r="G68" t="s">
        <v>554</v>
      </c>
      <c r="H68" t="s">
        <v>485</v>
      </c>
      <c r="I68" t="s">
        <v>457</v>
      </c>
    </row>
    <row r="69" spans="1:9" ht="16" hidden="1">
      <c r="A69" s="3" t="s">
        <v>558</v>
      </c>
      <c r="B69" t="s">
        <v>63</v>
      </c>
      <c r="C69" t="s">
        <v>64</v>
      </c>
      <c r="E69" t="s">
        <v>488</v>
      </c>
      <c r="F69">
        <v>792</v>
      </c>
      <c r="G69" t="s">
        <v>489</v>
      </c>
      <c r="H69" t="s">
        <v>485</v>
      </c>
      <c r="I69" t="s">
        <v>457</v>
      </c>
    </row>
    <row r="70" spans="1:9" ht="16" hidden="1">
      <c r="A70" s="3" t="s">
        <v>559</v>
      </c>
      <c r="B70" t="s">
        <v>116</v>
      </c>
      <c r="C70" t="s">
        <v>118</v>
      </c>
      <c r="E70" t="s">
        <v>560</v>
      </c>
      <c r="F70" s="2">
        <v>1000000</v>
      </c>
      <c r="G70" t="s">
        <v>495</v>
      </c>
      <c r="H70" t="s">
        <v>495</v>
      </c>
      <c r="I70" t="s">
        <v>457</v>
      </c>
    </row>
    <row r="71" spans="1:9" ht="16" hidden="1">
      <c r="A71" s="3" t="s">
        <v>561</v>
      </c>
      <c r="B71" t="s">
        <v>48</v>
      </c>
      <c r="C71" t="s">
        <v>49</v>
      </c>
      <c r="E71" t="s">
        <v>488</v>
      </c>
      <c r="F71" s="2">
        <v>10600</v>
      </c>
      <c r="G71" t="s">
        <v>562</v>
      </c>
      <c r="H71" t="s">
        <v>485</v>
      </c>
      <c r="I71" t="s">
        <v>457</v>
      </c>
    </row>
    <row r="72" spans="1:9" ht="16" hidden="1">
      <c r="A72" s="3" t="s">
        <v>563</v>
      </c>
      <c r="B72" t="s">
        <v>48</v>
      </c>
      <c r="C72" t="s">
        <v>50</v>
      </c>
      <c r="E72" t="s">
        <v>488</v>
      </c>
      <c r="F72" s="2">
        <v>10600</v>
      </c>
      <c r="G72" t="s">
        <v>562</v>
      </c>
      <c r="H72" t="s">
        <v>485</v>
      </c>
      <c r="I72" t="s">
        <v>457</v>
      </c>
    </row>
    <row r="73" spans="1:9" ht="16" hidden="1">
      <c r="A73" s="3" t="s">
        <v>564</v>
      </c>
      <c r="B73" t="s">
        <v>48</v>
      </c>
      <c r="C73" t="s">
        <v>51</v>
      </c>
      <c r="E73" t="s">
        <v>488</v>
      </c>
      <c r="F73" s="2">
        <v>1700000</v>
      </c>
      <c r="G73" t="s">
        <v>565</v>
      </c>
      <c r="H73" t="s">
        <v>485</v>
      </c>
      <c r="I73" t="s">
        <v>457</v>
      </c>
    </row>
    <row r="74" spans="1:9" ht="16" hidden="1">
      <c r="A74" s="3" t="s">
        <v>566</v>
      </c>
      <c r="B74" t="s">
        <v>48</v>
      </c>
      <c r="C74" t="s">
        <v>52</v>
      </c>
      <c r="E74" t="s">
        <v>488</v>
      </c>
      <c r="F74" s="2">
        <v>1000000</v>
      </c>
      <c r="G74" t="s">
        <v>565</v>
      </c>
      <c r="H74" t="s">
        <v>485</v>
      </c>
      <c r="I74" t="s">
        <v>457</v>
      </c>
    </row>
    <row r="75" spans="1:9" ht="16" hidden="1">
      <c r="A75" s="3" t="s">
        <v>567</v>
      </c>
      <c r="B75" t="s">
        <v>81</v>
      </c>
      <c r="C75" t="s">
        <v>82</v>
      </c>
      <c r="E75" t="s">
        <v>532</v>
      </c>
      <c r="F75" s="2">
        <v>1000000</v>
      </c>
      <c r="G75" t="s">
        <v>568</v>
      </c>
      <c r="H75" t="s">
        <v>569</v>
      </c>
      <c r="I75" t="s">
        <v>457</v>
      </c>
    </row>
    <row r="76" spans="1:9" ht="16" hidden="1">
      <c r="A76" s="3" t="s">
        <v>570</v>
      </c>
      <c r="B76" t="s">
        <v>71</v>
      </c>
      <c r="C76" t="s">
        <v>72</v>
      </c>
      <c r="E76" t="s">
        <v>532</v>
      </c>
      <c r="F76" s="2">
        <v>150000</v>
      </c>
      <c r="G76" t="s">
        <v>571</v>
      </c>
      <c r="H76" t="s">
        <v>569</v>
      </c>
      <c r="I76" t="s">
        <v>457</v>
      </c>
    </row>
    <row r="77" spans="1:9" ht="16" hidden="1">
      <c r="A77" s="3" t="s">
        <v>572</v>
      </c>
      <c r="B77" t="s">
        <v>23</v>
      </c>
      <c r="C77" t="s">
        <v>24</v>
      </c>
      <c r="E77" t="s">
        <v>532</v>
      </c>
      <c r="F77" s="2">
        <v>195000</v>
      </c>
      <c r="G77" t="s">
        <v>573</v>
      </c>
      <c r="H77" t="s">
        <v>569</v>
      </c>
      <c r="I77" t="s">
        <v>457</v>
      </c>
    </row>
    <row r="78" spans="1:9" ht="16" hidden="1">
      <c r="A78" s="3" t="s">
        <v>574</v>
      </c>
      <c r="B78" t="s">
        <v>19</v>
      </c>
      <c r="C78" t="s">
        <v>20</v>
      </c>
      <c r="E78" t="s">
        <v>532</v>
      </c>
      <c r="F78" s="2">
        <v>130000</v>
      </c>
      <c r="G78" t="s">
        <v>573</v>
      </c>
      <c r="H78" t="s">
        <v>569</v>
      </c>
      <c r="I78" t="s">
        <v>457</v>
      </c>
    </row>
    <row r="79" spans="1:9" ht="16" hidden="1">
      <c r="A79" s="3" t="s">
        <v>574</v>
      </c>
      <c r="B79" t="s">
        <v>23</v>
      </c>
      <c r="C79" t="s">
        <v>25</v>
      </c>
      <c r="E79" t="s">
        <v>532</v>
      </c>
      <c r="F79" s="2">
        <v>20000</v>
      </c>
      <c r="G79" t="s">
        <v>573</v>
      </c>
      <c r="H79" t="s">
        <v>569</v>
      </c>
      <c r="I79" t="s">
        <v>457</v>
      </c>
    </row>
    <row r="80" spans="1:9" ht="16" hidden="1">
      <c r="A80" s="3" t="s">
        <v>575</v>
      </c>
      <c r="B80" t="s">
        <v>38</v>
      </c>
      <c r="C80" t="s">
        <v>39</v>
      </c>
      <c r="E80" t="s">
        <v>532</v>
      </c>
      <c r="F80" s="2">
        <v>100000</v>
      </c>
      <c r="G80" t="s">
        <v>571</v>
      </c>
      <c r="H80" t="s">
        <v>569</v>
      </c>
      <c r="I80" t="s">
        <v>458</v>
      </c>
    </row>
    <row r="81" spans="1:9" ht="16" hidden="1">
      <c r="A81" s="3" t="s">
        <v>576</v>
      </c>
      <c r="B81" t="s">
        <v>45</v>
      </c>
      <c r="C81" t="s">
        <v>46</v>
      </c>
      <c r="E81" t="s">
        <v>488</v>
      </c>
      <c r="F81" s="2">
        <v>101600</v>
      </c>
      <c r="G81" t="s">
        <v>577</v>
      </c>
      <c r="H81" t="s">
        <v>485</v>
      </c>
      <c r="I81" t="s">
        <v>457</v>
      </c>
    </row>
    <row r="82" spans="1:9" ht="16" hidden="1">
      <c r="A82" s="3" t="s">
        <v>578</v>
      </c>
      <c r="B82" t="s">
        <v>40</v>
      </c>
      <c r="C82" t="s">
        <v>41</v>
      </c>
      <c r="E82" t="s">
        <v>488</v>
      </c>
      <c r="F82" s="2">
        <v>12703</v>
      </c>
      <c r="G82" t="s">
        <v>489</v>
      </c>
      <c r="H82" t="s">
        <v>485</v>
      </c>
      <c r="I82" t="s">
        <v>457</v>
      </c>
    </row>
    <row r="83" spans="1:9" ht="16" hidden="1">
      <c r="A83" s="3" t="s">
        <v>579</v>
      </c>
      <c r="B83" t="s">
        <v>40</v>
      </c>
      <c r="C83" t="s">
        <v>42</v>
      </c>
      <c r="E83" t="s">
        <v>488</v>
      </c>
      <c r="F83">
        <v>792</v>
      </c>
      <c r="G83" t="s">
        <v>489</v>
      </c>
      <c r="H83" t="s">
        <v>485</v>
      </c>
      <c r="I83" t="s">
        <v>457</v>
      </c>
    </row>
    <row r="84" spans="1:9" ht="16" hidden="1">
      <c r="A84" s="3" t="s">
        <v>580</v>
      </c>
      <c r="B84" t="s">
        <v>43</v>
      </c>
      <c r="C84" t="s">
        <v>44</v>
      </c>
      <c r="E84" t="s">
        <v>488</v>
      </c>
      <c r="F84" s="2">
        <v>30225</v>
      </c>
      <c r="G84" t="s">
        <v>554</v>
      </c>
      <c r="H84" t="s">
        <v>485</v>
      </c>
      <c r="I84" t="s">
        <v>459</v>
      </c>
    </row>
    <row r="85" spans="1:9" ht="16" hidden="1">
      <c r="A85" s="3" t="s">
        <v>580</v>
      </c>
      <c r="B85" t="s">
        <v>45</v>
      </c>
      <c r="C85" t="s">
        <v>47</v>
      </c>
      <c r="E85" t="s">
        <v>488</v>
      </c>
      <c r="F85" s="2">
        <v>31744</v>
      </c>
      <c r="G85" t="s">
        <v>554</v>
      </c>
      <c r="H85" t="s">
        <v>485</v>
      </c>
      <c r="I85" t="s">
        <v>459</v>
      </c>
    </row>
    <row r="86" spans="1:9" ht="16" hidden="1">
      <c r="A86" s="3" t="s">
        <v>581</v>
      </c>
      <c r="B86" t="s">
        <v>36</v>
      </c>
      <c r="C86" t="s">
        <v>37</v>
      </c>
      <c r="E86" t="s">
        <v>488</v>
      </c>
      <c r="F86" s="2">
        <v>24878</v>
      </c>
      <c r="G86" t="s">
        <v>554</v>
      </c>
      <c r="H86" t="s">
        <v>485</v>
      </c>
      <c r="I86" t="s">
        <v>459</v>
      </c>
    </row>
    <row r="87" spans="1:9" ht="16" hidden="1">
      <c r="A87" s="3" t="s">
        <v>582</v>
      </c>
      <c r="B87" t="s">
        <v>30</v>
      </c>
      <c r="C87" t="s">
        <v>31</v>
      </c>
      <c r="E87" t="s">
        <v>488</v>
      </c>
      <c r="F87" s="2">
        <v>31801</v>
      </c>
      <c r="G87" t="s">
        <v>554</v>
      </c>
      <c r="H87" t="s">
        <v>485</v>
      </c>
      <c r="I87" t="s">
        <v>457</v>
      </c>
    </row>
    <row r="88" spans="1:9" ht="16" hidden="1">
      <c r="A88" s="3" t="s">
        <v>583</v>
      </c>
      <c r="B88" t="s">
        <v>27</v>
      </c>
      <c r="C88" t="s">
        <v>28</v>
      </c>
      <c r="E88" t="s">
        <v>488</v>
      </c>
      <c r="F88">
        <v>792</v>
      </c>
      <c r="G88" t="s">
        <v>489</v>
      </c>
      <c r="H88" t="s">
        <v>485</v>
      </c>
      <c r="I88" t="s">
        <v>457</v>
      </c>
    </row>
    <row r="89" spans="1:9" ht="16" hidden="1">
      <c r="A89" s="3" t="s">
        <v>583</v>
      </c>
      <c r="B89" t="s">
        <v>34</v>
      </c>
      <c r="C89" t="s">
        <v>35</v>
      </c>
      <c r="E89" t="s">
        <v>488</v>
      </c>
      <c r="F89">
        <v>792</v>
      </c>
      <c r="G89" t="s">
        <v>489</v>
      </c>
      <c r="H89" t="s">
        <v>485</v>
      </c>
      <c r="I89" t="s">
        <v>457</v>
      </c>
    </row>
    <row r="90" spans="1:9" ht="16" hidden="1">
      <c r="A90" s="3" t="s">
        <v>584</v>
      </c>
      <c r="B90" t="s">
        <v>27</v>
      </c>
      <c r="C90" t="s">
        <v>29</v>
      </c>
      <c r="E90" t="s">
        <v>492</v>
      </c>
      <c r="F90">
        <v>155</v>
      </c>
      <c r="G90" t="s">
        <v>485</v>
      </c>
      <c r="H90" t="s">
        <v>493</v>
      </c>
      <c r="I90" t="s">
        <v>457</v>
      </c>
    </row>
    <row r="91" spans="1:9" ht="16">
      <c r="A91" s="3" t="s">
        <v>585</v>
      </c>
      <c r="B91" t="s">
        <v>19</v>
      </c>
      <c r="C91" t="s">
        <v>21</v>
      </c>
      <c r="E91" t="s">
        <v>535</v>
      </c>
      <c r="F91" s="2">
        <v>214030</v>
      </c>
      <c r="G91" t="s">
        <v>533</v>
      </c>
      <c r="H91" t="s">
        <v>586</v>
      </c>
      <c r="I91" t="s">
        <v>457</v>
      </c>
    </row>
    <row r="92" spans="1:9" ht="16" hidden="1">
      <c r="A92" s="3" t="s">
        <v>585</v>
      </c>
      <c r="B92" t="s">
        <v>19</v>
      </c>
      <c r="C92" t="s">
        <v>22</v>
      </c>
      <c r="E92" t="s">
        <v>535</v>
      </c>
      <c r="F92" s="2">
        <v>340428</v>
      </c>
      <c r="G92" t="s">
        <v>533</v>
      </c>
      <c r="H92" t="s">
        <v>586</v>
      </c>
      <c r="I92" t="s">
        <v>457</v>
      </c>
    </row>
    <row r="93" spans="1:9" ht="16" hidden="1">
      <c r="A93" s="3" t="s">
        <v>587</v>
      </c>
      <c r="B93" t="s">
        <v>17</v>
      </c>
      <c r="C93" t="s">
        <v>18</v>
      </c>
      <c r="E93" t="s">
        <v>484</v>
      </c>
      <c r="F93" s="2">
        <v>495000</v>
      </c>
      <c r="G93" t="s">
        <v>569</v>
      </c>
      <c r="H93" t="s">
        <v>533</v>
      </c>
      <c r="I93" t="s">
        <v>457</v>
      </c>
    </row>
    <row r="94" spans="1:9" ht="16" hidden="1">
      <c r="A94" s="3" t="s">
        <v>588</v>
      </c>
      <c r="B94" t="s">
        <v>32</v>
      </c>
      <c r="C94" t="s">
        <v>33</v>
      </c>
      <c r="E94" t="s">
        <v>488</v>
      </c>
      <c r="F94" s="2">
        <v>-100000</v>
      </c>
      <c r="G94" t="s">
        <v>569</v>
      </c>
      <c r="H94" t="s">
        <v>554</v>
      </c>
      <c r="I94" t="s">
        <v>457</v>
      </c>
    </row>
    <row r="95" spans="1:9" ht="16" hidden="1">
      <c r="A95" s="3" t="s">
        <v>589</v>
      </c>
      <c r="B95" t="s">
        <v>12</v>
      </c>
      <c r="C95" t="s">
        <v>13</v>
      </c>
      <c r="E95" t="s">
        <v>535</v>
      </c>
      <c r="F95" s="2">
        <v>149736</v>
      </c>
      <c r="G95" t="s">
        <v>533</v>
      </c>
      <c r="H95" t="s">
        <v>586</v>
      </c>
      <c r="I95" t="s">
        <v>457</v>
      </c>
    </row>
    <row r="96" spans="1:9" ht="16" hidden="1">
      <c r="A96" s="3" t="s">
        <v>590</v>
      </c>
      <c r="B96" t="s">
        <v>61</v>
      </c>
      <c r="C96" t="s">
        <v>62</v>
      </c>
      <c r="E96" t="s">
        <v>549</v>
      </c>
      <c r="F96" s="2">
        <v>160000</v>
      </c>
      <c r="G96" t="s">
        <v>495</v>
      </c>
      <c r="H96" t="s">
        <v>495</v>
      </c>
      <c r="I96" t="s">
        <v>457</v>
      </c>
    </row>
    <row r="97" spans="1:9" ht="16" hidden="1">
      <c r="A97" s="3" t="s">
        <v>591</v>
      </c>
      <c r="B97" t="s">
        <v>59</v>
      </c>
      <c r="C97" t="s">
        <v>60</v>
      </c>
      <c r="E97" t="s">
        <v>488</v>
      </c>
      <c r="F97" s="2">
        <v>33005</v>
      </c>
      <c r="G97" t="s">
        <v>554</v>
      </c>
      <c r="H97" t="s">
        <v>485</v>
      </c>
      <c r="I97" t="s">
        <v>457</v>
      </c>
    </row>
    <row r="98" spans="1:9" ht="16" hidden="1">
      <c r="A98" s="3" t="s">
        <v>592</v>
      </c>
      <c r="B98" t="s">
        <v>53</v>
      </c>
      <c r="C98" t="s">
        <v>54</v>
      </c>
      <c r="E98" t="s">
        <v>488</v>
      </c>
      <c r="F98">
        <v>792</v>
      </c>
      <c r="G98" t="s">
        <v>489</v>
      </c>
      <c r="H98" t="s">
        <v>485</v>
      </c>
      <c r="I98" t="s">
        <v>457</v>
      </c>
    </row>
    <row r="99" spans="1:9" ht="16" hidden="1">
      <c r="A99" s="3" t="s">
        <v>592</v>
      </c>
      <c r="B99" t="s">
        <v>57</v>
      </c>
      <c r="C99" t="s">
        <v>58</v>
      </c>
      <c r="E99" t="s">
        <v>488</v>
      </c>
      <c r="F99" s="2">
        <v>32001</v>
      </c>
      <c r="G99" t="s">
        <v>554</v>
      </c>
      <c r="H99" t="s">
        <v>485</v>
      </c>
      <c r="I99" t="s">
        <v>457</v>
      </c>
    </row>
    <row r="100" spans="1:9" ht="16" hidden="1">
      <c r="A100" s="3" t="s">
        <v>593</v>
      </c>
      <c r="B100" t="s">
        <v>53</v>
      </c>
      <c r="C100" t="s">
        <v>55</v>
      </c>
      <c r="E100" t="s">
        <v>488</v>
      </c>
      <c r="F100">
        <v>720</v>
      </c>
      <c r="G100" t="s">
        <v>489</v>
      </c>
      <c r="H100" t="s">
        <v>485</v>
      </c>
      <c r="I100" t="s">
        <v>457</v>
      </c>
    </row>
    <row r="101" spans="1:9" ht="16" hidden="1">
      <c r="A101" s="3" t="s">
        <v>593</v>
      </c>
      <c r="B101" t="s">
        <v>53</v>
      </c>
      <c r="C101" t="s">
        <v>56</v>
      </c>
      <c r="E101" t="s">
        <v>492</v>
      </c>
      <c r="F101">
        <v>219</v>
      </c>
      <c r="G101" t="s">
        <v>485</v>
      </c>
      <c r="H101" t="s">
        <v>493</v>
      </c>
      <c r="I101" t="s">
        <v>457</v>
      </c>
    </row>
    <row r="102" spans="1:9" ht="16" hidden="1">
      <c r="A102" s="3" t="s">
        <v>594</v>
      </c>
      <c r="B102" t="s">
        <v>5</v>
      </c>
      <c r="C102" t="s">
        <v>7</v>
      </c>
      <c r="E102" t="s">
        <v>542</v>
      </c>
      <c r="F102" s="2">
        <v>40000</v>
      </c>
      <c r="G102" t="s">
        <v>595</v>
      </c>
      <c r="H102" t="s">
        <v>544</v>
      </c>
      <c r="I102" t="s">
        <v>457</v>
      </c>
    </row>
    <row r="103" spans="1:9" ht="16" hidden="1">
      <c r="A103" s="3" t="s">
        <v>596</v>
      </c>
      <c r="B103" t="s">
        <v>23</v>
      </c>
      <c r="C103" t="s">
        <v>26</v>
      </c>
      <c r="E103" t="s">
        <v>542</v>
      </c>
      <c r="F103" s="2">
        <v>68000</v>
      </c>
      <c r="G103" t="s">
        <v>595</v>
      </c>
      <c r="H103" t="s">
        <v>544</v>
      </c>
      <c r="I103" t="s">
        <v>457</v>
      </c>
    </row>
    <row r="104" spans="1:9" ht="16" hidden="1">
      <c r="A104" s="3" t="s">
        <v>597</v>
      </c>
      <c r="B104" t="s">
        <v>14</v>
      </c>
      <c r="C104" t="s">
        <v>15</v>
      </c>
      <c r="E104" t="s">
        <v>549</v>
      </c>
      <c r="F104" s="2">
        <v>40000</v>
      </c>
      <c r="G104" t="s">
        <v>495</v>
      </c>
      <c r="H104" t="s">
        <v>495</v>
      </c>
      <c r="I104" t="s">
        <v>457</v>
      </c>
    </row>
    <row r="105" spans="1:9" ht="16" hidden="1">
      <c r="A105" s="3" t="s">
        <v>598</v>
      </c>
      <c r="B105" t="s">
        <v>9</v>
      </c>
      <c r="C105" t="s">
        <v>10</v>
      </c>
      <c r="E105" t="s">
        <v>488</v>
      </c>
      <c r="F105">
        <v>792</v>
      </c>
      <c r="G105" t="s">
        <v>489</v>
      </c>
      <c r="H105" t="s">
        <v>485</v>
      </c>
      <c r="I105" t="s">
        <v>457</v>
      </c>
    </row>
    <row r="106" spans="1:9" ht="16" hidden="1">
      <c r="A106" s="3" t="s">
        <v>598</v>
      </c>
      <c r="B106" t="s">
        <v>9</v>
      </c>
      <c r="C106" t="s">
        <v>11</v>
      </c>
      <c r="E106" t="s">
        <v>488</v>
      </c>
      <c r="F106">
        <v>486</v>
      </c>
      <c r="G106" t="s">
        <v>489</v>
      </c>
      <c r="H106" t="s">
        <v>485</v>
      </c>
      <c r="I106" t="s">
        <v>457</v>
      </c>
    </row>
    <row r="107" spans="1:9" ht="16" hidden="1">
      <c r="A107" s="3" t="s">
        <v>598</v>
      </c>
      <c r="B107" t="s">
        <v>14</v>
      </c>
      <c r="C107" t="s">
        <v>16</v>
      </c>
      <c r="E107" t="s">
        <v>549</v>
      </c>
      <c r="F107" s="2">
        <v>68000</v>
      </c>
      <c r="G107" t="s">
        <v>495</v>
      </c>
      <c r="H107" t="s">
        <v>495</v>
      </c>
      <c r="I107" t="s">
        <v>457</v>
      </c>
    </row>
  </sheetData>
  <autoFilter ref="A1:I107" xr:uid="{870F7416-6EA1-954B-BE33-A9DBE267A0CC}">
    <filterColumn colId="2">
      <filters>
        <filter val="FIZ/DIJ/9/2025"/>
        <filter val="NY/SZAL/9/2025"/>
        <filter val="NY/VEV/9/2025"/>
        <filter val="SZ/DIJ/9/2025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753F-04AB-5C41-8F00-B28C3B8EB093}">
  <dimension ref="A1:D275"/>
  <sheetViews>
    <sheetView workbookViewId="0">
      <selection activeCell="C5" sqref="C5"/>
    </sheetView>
  </sheetViews>
  <sheetFormatPr baseColWidth="10" defaultRowHeight="15"/>
  <cols>
    <col min="2" max="2" width="49.6640625" bestFit="1" customWidth="1"/>
    <col min="3" max="3" width="49.6640625" customWidth="1"/>
  </cols>
  <sheetData>
    <row r="1" spans="1:4" ht="16">
      <c r="A1" s="3" t="s">
        <v>175</v>
      </c>
      <c r="B1" t="s">
        <v>176</v>
      </c>
      <c r="C1" t="s">
        <v>178</v>
      </c>
      <c r="D1" s="4" t="s">
        <v>177</v>
      </c>
    </row>
    <row r="2" spans="1:4" ht="16">
      <c r="A2" s="3">
        <v>0</v>
      </c>
      <c r="B2" t="s">
        <v>179</v>
      </c>
      <c r="C2" t="s">
        <v>180</v>
      </c>
      <c r="D2">
        <v>0</v>
      </c>
    </row>
    <row r="3" spans="1:4" ht="16">
      <c r="A3" s="3">
        <v>1</v>
      </c>
      <c r="B3" t="s">
        <v>181</v>
      </c>
      <c r="C3" t="s">
        <v>182</v>
      </c>
      <c r="D3">
        <f t="shared" ref="D3:D9" si="0">IF(EXACT(A3,LEFT(A4,LEN(A3))),1,0)</f>
        <v>1</v>
      </c>
    </row>
    <row r="4" spans="1:4" ht="16">
      <c r="A4" s="3">
        <v>12</v>
      </c>
      <c r="B4" t="s">
        <v>183</v>
      </c>
      <c r="C4" t="s">
        <v>182</v>
      </c>
      <c r="D4">
        <f t="shared" si="0"/>
        <v>1</v>
      </c>
    </row>
    <row r="5" spans="1:4" ht="16">
      <c r="A5" s="3">
        <v>121</v>
      </c>
      <c r="B5" t="s">
        <v>184</v>
      </c>
      <c r="C5" s="4" t="s">
        <v>599</v>
      </c>
      <c r="D5">
        <f t="shared" si="0"/>
        <v>0</v>
      </c>
    </row>
    <row r="6" spans="1:4" ht="16">
      <c r="A6" s="3">
        <v>122</v>
      </c>
      <c r="B6" t="s">
        <v>185</v>
      </c>
      <c r="C6" t="s">
        <v>182</v>
      </c>
      <c r="D6">
        <f t="shared" si="0"/>
        <v>0</v>
      </c>
    </row>
    <row r="7" spans="1:4" ht="16">
      <c r="A7" s="3">
        <v>123</v>
      </c>
      <c r="B7" t="s">
        <v>186</v>
      </c>
      <c r="C7" t="s">
        <v>182</v>
      </c>
      <c r="D7">
        <f t="shared" si="0"/>
        <v>0</v>
      </c>
    </row>
    <row r="8" spans="1:4" ht="16">
      <c r="A8" s="3">
        <v>129</v>
      </c>
      <c r="B8" t="s">
        <v>187</v>
      </c>
      <c r="C8" t="s">
        <v>182</v>
      </c>
      <c r="D8">
        <f t="shared" si="0"/>
        <v>0</v>
      </c>
    </row>
    <row r="9" spans="1:4" ht="16">
      <c r="A9" s="3">
        <v>13</v>
      </c>
      <c r="B9" t="s">
        <v>188</v>
      </c>
      <c r="C9" t="s">
        <v>182</v>
      </c>
      <c r="D9">
        <f t="shared" si="0"/>
        <v>0</v>
      </c>
    </row>
    <row r="10" spans="1:4" ht="16">
      <c r="A10" s="3">
        <v>14</v>
      </c>
      <c r="B10" t="s">
        <v>189</v>
      </c>
      <c r="C10" t="s">
        <v>182</v>
      </c>
      <c r="D10">
        <f t="shared" ref="D10:D73" si="1">IF(EXACT(A10,LEFT(A11,LEN(A10))),1,0)</f>
        <v>0</v>
      </c>
    </row>
    <row r="11" spans="1:4" ht="16">
      <c r="A11" s="3">
        <v>16</v>
      </c>
      <c r="B11" t="s">
        <v>190</v>
      </c>
      <c r="C11" t="s">
        <v>182</v>
      </c>
      <c r="D11">
        <f t="shared" si="1"/>
        <v>0</v>
      </c>
    </row>
    <row r="12" spans="1:4" ht="16">
      <c r="A12" s="3">
        <v>18</v>
      </c>
      <c r="B12" t="s">
        <v>191</v>
      </c>
      <c r="C12" t="s">
        <v>182</v>
      </c>
      <c r="D12">
        <f t="shared" si="1"/>
        <v>0</v>
      </c>
    </row>
    <row r="13" spans="1:4" ht="16">
      <c r="A13" s="3">
        <v>19</v>
      </c>
      <c r="B13" t="s">
        <v>192</v>
      </c>
      <c r="C13" t="s">
        <v>182</v>
      </c>
      <c r="D13">
        <f t="shared" si="1"/>
        <v>1</v>
      </c>
    </row>
    <row r="14" spans="1:4" ht="16">
      <c r="A14" s="3">
        <v>192</v>
      </c>
      <c r="B14" t="s">
        <v>193</v>
      </c>
      <c r="C14" t="s">
        <v>182</v>
      </c>
      <c r="D14">
        <f t="shared" si="1"/>
        <v>0</v>
      </c>
    </row>
    <row r="15" spans="1:4" ht="16">
      <c r="A15" s="3">
        <v>198</v>
      </c>
      <c r="B15" t="s">
        <v>194</v>
      </c>
      <c r="C15" t="s">
        <v>182</v>
      </c>
      <c r="D15">
        <f t="shared" si="1"/>
        <v>0</v>
      </c>
    </row>
    <row r="16" spans="1:4" ht="16">
      <c r="A16" s="3">
        <v>2</v>
      </c>
      <c r="B16" t="s">
        <v>195</v>
      </c>
      <c r="C16" t="s">
        <v>182</v>
      </c>
      <c r="D16">
        <f t="shared" si="1"/>
        <v>1</v>
      </c>
    </row>
    <row r="17" spans="1:4" ht="16">
      <c r="A17" s="3">
        <v>21</v>
      </c>
      <c r="B17" t="s">
        <v>196</v>
      </c>
      <c r="C17" t="s">
        <v>182</v>
      </c>
      <c r="D17">
        <f t="shared" si="1"/>
        <v>0</v>
      </c>
    </row>
    <row r="18" spans="1:4" ht="16">
      <c r="A18" s="3">
        <v>22</v>
      </c>
      <c r="B18" t="s">
        <v>197</v>
      </c>
      <c r="C18" t="s">
        <v>182</v>
      </c>
      <c r="D18">
        <f t="shared" si="1"/>
        <v>0</v>
      </c>
    </row>
    <row r="19" spans="1:4" ht="16">
      <c r="A19" s="3">
        <v>3</v>
      </c>
      <c r="B19" t="s">
        <v>198</v>
      </c>
      <c r="C19" t="s">
        <v>182</v>
      </c>
      <c r="D19">
        <f t="shared" si="1"/>
        <v>1</v>
      </c>
    </row>
    <row r="20" spans="1:4" ht="16">
      <c r="A20" s="3">
        <v>31</v>
      </c>
      <c r="B20" t="s">
        <v>199</v>
      </c>
      <c r="C20" t="s">
        <v>200</v>
      </c>
      <c r="D20">
        <f t="shared" si="1"/>
        <v>0</v>
      </c>
    </row>
    <row r="21" spans="1:4" ht="16">
      <c r="A21" s="3">
        <v>33</v>
      </c>
      <c r="B21" t="s">
        <v>201</v>
      </c>
      <c r="C21" t="s">
        <v>200</v>
      </c>
      <c r="D21">
        <f t="shared" si="1"/>
        <v>1</v>
      </c>
    </row>
    <row r="22" spans="1:4" ht="16">
      <c r="A22" s="3">
        <v>331</v>
      </c>
      <c r="B22" t="s">
        <v>202</v>
      </c>
      <c r="C22" t="s">
        <v>200</v>
      </c>
      <c r="D22">
        <f t="shared" si="1"/>
        <v>0</v>
      </c>
    </row>
    <row r="23" spans="1:4" ht="16">
      <c r="A23" s="3">
        <v>332</v>
      </c>
      <c r="B23" t="s">
        <v>203</v>
      </c>
      <c r="C23" t="s">
        <v>200</v>
      </c>
      <c r="D23">
        <f t="shared" si="1"/>
        <v>1</v>
      </c>
    </row>
    <row r="24" spans="1:4" ht="16">
      <c r="A24" s="3">
        <v>3321</v>
      </c>
      <c r="B24" t="s">
        <v>204</v>
      </c>
      <c r="C24" t="s">
        <v>200</v>
      </c>
      <c r="D24">
        <f t="shared" si="1"/>
        <v>0</v>
      </c>
    </row>
    <row r="25" spans="1:4" ht="16">
      <c r="A25" s="3">
        <v>3322</v>
      </c>
      <c r="B25" t="s">
        <v>205</v>
      </c>
      <c r="C25" t="s">
        <v>200</v>
      </c>
      <c r="D25">
        <f t="shared" si="1"/>
        <v>0</v>
      </c>
    </row>
    <row r="26" spans="1:4" ht="16">
      <c r="A26" s="3">
        <v>3323</v>
      </c>
      <c r="B26" t="s">
        <v>206</v>
      </c>
      <c r="C26" t="s">
        <v>200</v>
      </c>
      <c r="D26">
        <f t="shared" si="1"/>
        <v>0</v>
      </c>
    </row>
    <row r="27" spans="1:4" ht="16">
      <c r="A27" s="3">
        <v>3324</v>
      </c>
      <c r="B27" t="s">
        <v>207</v>
      </c>
      <c r="C27" t="s">
        <v>200</v>
      </c>
      <c r="D27">
        <f t="shared" si="1"/>
        <v>0</v>
      </c>
    </row>
    <row r="28" spans="1:4" ht="16">
      <c r="A28" s="3">
        <v>3325</v>
      </c>
      <c r="B28" t="s">
        <v>208</v>
      </c>
      <c r="C28" t="s">
        <v>200</v>
      </c>
      <c r="D28">
        <f t="shared" si="1"/>
        <v>0</v>
      </c>
    </row>
    <row r="29" spans="1:4" ht="16">
      <c r="A29" s="3">
        <v>3326</v>
      </c>
      <c r="B29" t="s">
        <v>209</v>
      </c>
      <c r="C29" t="s">
        <v>200</v>
      </c>
      <c r="D29">
        <f t="shared" si="1"/>
        <v>0</v>
      </c>
    </row>
    <row r="30" spans="1:4" ht="16">
      <c r="A30" s="3">
        <v>3329</v>
      </c>
      <c r="B30" t="s">
        <v>210</v>
      </c>
      <c r="C30" t="s">
        <v>200</v>
      </c>
      <c r="D30">
        <f t="shared" si="1"/>
        <v>0</v>
      </c>
    </row>
    <row r="31" spans="1:4" ht="16">
      <c r="A31" s="3">
        <v>333</v>
      </c>
      <c r="B31" t="s">
        <v>211</v>
      </c>
      <c r="C31" t="s">
        <v>200</v>
      </c>
      <c r="D31">
        <f t="shared" si="1"/>
        <v>0</v>
      </c>
    </row>
    <row r="32" spans="1:4" ht="16">
      <c r="A32" s="3">
        <v>334</v>
      </c>
      <c r="B32" t="s">
        <v>212</v>
      </c>
      <c r="C32" t="s">
        <v>200</v>
      </c>
      <c r="D32">
        <f t="shared" si="1"/>
        <v>0</v>
      </c>
    </row>
    <row r="33" spans="1:4" ht="16">
      <c r="A33" s="3">
        <v>335</v>
      </c>
      <c r="B33" t="s">
        <v>213</v>
      </c>
      <c r="C33" t="s">
        <v>200</v>
      </c>
      <c r="D33">
        <f t="shared" si="1"/>
        <v>0</v>
      </c>
    </row>
    <row r="34" spans="1:4" ht="16">
      <c r="A34" s="3">
        <v>336</v>
      </c>
      <c r="B34" t="s">
        <v>214</v>
      </c>
      <c r="C34" t="s">
        <v>182</v>
      </c>
      <c r="D34">
        <f t="shared" si="1"/>
        <v>0</v>
      </c>
    </row>
    <row r="35" spans="1:4" ht="16">
      <c r="A35" s="3">
        <v>34</v>
      </c>
      <c r="B35" t="s">
        <v>215</v>
      </c>
      <c r="C35" t="s">
        <v>182</v>
      </c>
      <c r="D35">
        <f t="shared" si="1"/>
        <v>1</v>
      </c>
    </row>
    <row r="36" spans="1:4" ht="16">
      <c r="A36" s="3">
        <v>341</v>
      </c>
      <c r="B36" t="s">
        <v>216</v>
      </c>
      <c r="C36" t="s">
        <v>182</v>
      </c>
      <c r="D36">
        <f t="shared" si="1"/>
        <v>0</v>
      </c>
    </row>
    <row r="37" spans="1:4" ht="16">
      <c r="A37" s="3">
        <v>342</v>
      </c>
      <c r="B37" t="s">
        <v>217</v>
      </c>
      <c r="C37" t="s">
        <v>182</v>
      </c>
      <c r="D37">
        <f t="shared" si="1"/>
        <v>0</v>
      </c>
    </row>
    <row r="38" spans="1:4" ht="16">
      <c r="A38" s="3">
        <v>343</v>
      </c>
      <c r="B38" t="s">
        <v>218</v>
      </c>
      <c r="C38" t="s">
        <v>182</v>
      </c>
      <c r="D38">
        <f t="shared" si="1"/>
        <v>0</v>
      </c>
    </row>
    <row r="39" spans="1:4" ht="16">
      <c r="A39" s="3">
        <v>36</v>
      </c>
      <c r="B39" t="s">
        <v>219</v>
      </c>
      <c r="C39" t="s">
        <v>182</v>
      </c>
      <c r="D39">
        <f t="shared" si="1"/>
        <v>0</v>
      </c>
    </row>
    <row r="40" spans="1:4" ht="16">
      <c r="A40" s="3">
        <v>38</v>
      </c>
      <c r="B40" t="s">
        <v>220</v>
      </c>
      <c r="C40" t="s">
        <v>182</v>
      </c>
      <c r="D40">
        <f t="shared" si="1"/>
        <v>1</v>
      </c>
    </row>
    <row r="41" spans="1:4" ht="16">
      <c r="A41" s="3">
        <v>381</v>
      </c>
      <c r="B41" t="s">
        <v>221</v>
      </c>
      <c r="C41" t="s">
        <v>221</v>
      </c>
      <c r="D41">
        <f t="shared" si="1"/>
        <v>1</v>
      </c>
    </row>
    <row r="42" spans="1:4" ht="16">
      <c r="A42" s="3">
        <v>3811</v>
      </c>
      <c r="B42" t="s">
        <v>222</v>
      </c>
      <c r="C42" t="s">
        <v>223</v>
      </c>
      <c r="D42">
        <f t="shared" si="1"/>
        <v>0</v>
      </c>
    </row>
    <row r="43" spans="1:4" ht="16">
      <c r="A43" s="3">
        <v>3812</v>
      </c>
      <c r="B43" t="s">
        <v>224</v>
      </c>
      <c r="C43" t="s">
        <v>223</v>
      </c>
      <c r="D43">
        <f t="shared" si="1"/>
        <v>0</v>
      </c>
    </row>
    <row r="44" spans="1:4" ht="16">
      <c r="A44" s="3">
        <v>3816</v>
      </c>
      <c r="B44" t="s">
        <v>225</v>
      </c>
      <c r="C44" t="s">
        <v>223</v>
      </c>
      <c r="D44">
        <f t="shared" si="1"/>
        <v>0</v>
      </c>
    </row>
    <row r="45" spans="1:4" ht="16">
      <c r="A45" s="3">
        <v>382</v>
      </c>
      <c r="B45" t="s">
        <v>226</v>
      </c>
      <c r="C45" t="s">
        <v>223</v>
      </c>
      <c r="D45">
        <f t="shared" si="1"/>
        <v>0</v>
      </c>
    </row>
    <row r="46" spans="1:4" ht="16">
      <c r="A46" s="3">
        <v>383</v>
      </c>
      <c r="B46" t="s">
        <v>227</v>
      </c>
      <c r="C46" t="s">
        <v>223</v>
      </c>
      <c r="D46">
        <f t="shared" si="1"/>
        <v>1</v>
      </c>
    </row>
    <row r="47" spans="1:4" ht="16">
      <c r="A47" s="3">
        <v>3831</v>
      </c>
      <c r="B47" t="s">
        <v>228</v>
      </c>
      <c r="C47" t="s">
        <v>221</v>
      </c>
      <c r="D47">
        <f t="shared" si="1"/>
        <v>0</v>
      </c>
    </row>
    <row r="48" spans="1:4" ht="16">
      <c r="A48" s="3">
        <v>3832</v>
      </c>
      <c r="B48" t="s">
        <v>229</v>
      </c>
      <c r="C48" t="s">
        <v>221</v>
      </c>
      <c r="D48">
        <f t="shared" si="1"/>
        <v>0</v>
      </c>
    </row>
    <row r="49" spans="1:4" ht="16">
      <c r="A49" s="3">
        <v>3836</v>
      </c>
      <c r="B49" t="s">
        <v>230</v>
      </c>
      <c r="C49" t="s">
        <v>221</v>
      </c>
      <c r="D49">
        <f t="shared" si="1"/>
        <v>0</v>
      </c>
    </row>
    <row r="50" spans="1:4" ht="16">
      <c r="A50" s="3">
        <v>384</v>
      </c>
      <c r="B50" t="s">
        <v>231</v>
      </c>
      <c r="C50" t="s">
        <v>223</v>
      </c>
      <c r="D50">
        <f t="shared" si="1"/>
        <v>0</v>
      </c>
    </row>
    <row r="51" spans="1:4" ht="16">
      <c r="A51" s="3">
        <v>39</v>
      </c>
      <c r="B51" t="s">
        <v>232</v>
      </c>
      <c r="C51" t="s">
        <v>182</v>
      </c>
      <c r="D51">
        <f t="shared" si="1"/>
        <v>0</v>
      </c>
    </row>
    <row r="52" spans="1:4" ht="16">
      <c r="A52" s="3">
        <v>4</v>
      </c>
      <c r="B52" t="s">
        <v>233</v>
      </c>
      <c r="C52" t="s">
        <v>234</v>
      </c>
      <c r="D52">
        <f t="shared" si="1"/>
        <v>1</v>
      </c>
    </row>
    <row r="53" spans="1:4" ht="16">
      <c r="A53" s="3">
        <v>41</v>
      </c>
      <c r="B53" t="s">
        <v>235</v>
      </c>
      <c r="C53" t="s">
        <v>235</v>
      </c>
      <c r="D53">
        <f t="shared" si="1"/>
        <v>1</v>
      </c>
    </row>
    <row r="54" spans="1:4" ht="16">
      <c r="A54" s="3">
        <v>411</v>
      </c>
      <c r="B54" t="s">
        <v>236</v>
      </c>
      <c r="C54" t="s">
        <v>234</v>
      </c>
      <c r="D54">
        <f t="shared" si="1"/>
        <v>0</v>
      </c>
    </row>
    <row r="55" spans="1:4" ht="16">
      <c r="A55" s="3">
        <v>413</v>
      </c>
      <c r="B55" t="s">
        <v>237</v>
      </c>
      <c r="C55" t="s">
        <v>235</v>
      </c>
      <c r="D55">
        <f t="shared" si="1"/>
        <v>0</v>
      </c>
    </row>
    <row r="56" spans="1:4" ht="16">
      <c r="A56" s="3">
        <v>414</v>
      </c>
      <c r="B56" t="s">
        <v>238</v>
      </c>
      <c r="C56" t="s">
        <v>235</v>
      </c>
      <c r="D56">
        <f t="shared" si="1"/>
        <v>0</v>
      </c>
    </row>
    <row r="57" spans="1:4" ht="16">
      <c r="A57" s="3">
        <v>419</v>
      </c>
      <c r="B57" t="s">
        <v>239</v>
      </c>
      <c r="C57" t="s">
        <v>235</v>
      </c>
      <c r="D57">
        <f t="shared" si="1"/>
        <v>0</v>
      </c>
    </row>
    <row r="58" spans="1:4" ht="16">
      <c r="A58" s="3">
        <v>43</v>
      </c>
      <c r="B58" t="s">
        <v>240</v>
      </c>
      <c r="C58" t="s">
        <v>234</v>
      </c>
      <c r="D58">
        <f t="shared" si="1"/>
        <v>1</v>
      </c>
    </row>
    <row r="59" spans="1:4" ht="16">
      <c r="A59" s="3">
        <v>431</v>
      </c>
      <c r="B59" t="s">
        <v>241</v>
      </c>
      <c r="C59" t="s">
        <v>234</v>
      </c>
      <c r="D59">
        <f t="shared" si="1"/>
        <v>0</v>
      </c>
    </row>
    <row r="60" spans="1:4" ht="16">
      <c r="A60" s="3">
        <v>432</v>
      </c>
      <c r="B60" t="s">
        <v>4</v>
      </c>
      <c r="C60" t="s">
        <v>234</v>
      </c>
      <c r="D60">
        <f t="shared" si="1"/>
        <v>0</v>
      </c>
    </row>
    <row r="61" spans="1:4" ht="16">
      <c r="A61" s="3">
        <v>433</v>
      </c>
      <c r="B61" t="s">
        <v>4</v>
      </c>
      <c r="C61" t="s">
        <v>234</v>
      </c>
      <c r="D61">
        <f t="shared" si="1"/>
        <v>0</v>
      </c>
    </row>
    <row r="62" spans="1:4" ht="16">
      <c r="A62" s="3">
        <v>434</v>
      </c>
      <c r="B62" t="s">
        <v>242</v>
      </c>
      <c r="C62" t="s">
        <v>234</v>
      </c>
      <c r="D62">
        <f t="shared" si="1"/>
        <v>0</v>
      </c>
    </row>
    <row r="63" spans="1:4" ht="16">
      <c r="A63" s="3">
        <v>44</v>
      </c>
      <c r="B63" t="s">
        <v>243</v>
      </c>
      <c r="C63" t="s">
        <v>234</v>
      </c>
      <c r="D63">
        <f t="shared" si="1"/>
        <v>1</v>
      </c>
    </row>
    <row r="64" spans="1:4" ht="16">
      <c r="A64" s="3">
        <v>441</v>
      </c>
      <c r="B64" t="s">
        <v>244</v>
      </c>
      <c r="C64" t="s">
        <v>234</v>
      </c>
      <c r="D64">
        <f t="shared" si="1"/>
        <v>0</v>
      </c>
    </row>
    <row r="65" spans="1:4" ht="16">
      <c r="A65" s="3">
        <v>442</v>
      </c>
      <c r="B65" t="s">
        <v>245</v>
      </c>
      <c r="C65" t="s">
        <v>234</v>
      </c>
      <c r="D65">
        <f t="shared" si="1"/>
        <v>0</v>
      </c>
    </row>
    <row r="66" spans="1:4" ht="16">
      <c r="A66" s="3">
        <v>443</v>
      </c>
      <c r="B66" t="s">
        <v>246</v>
      </c>
      <c r="C66" t="s">
        <v>234</v>
      </c>
      <c r="D66">
        <f t="shared" si="1"/>
        <v>0</v>
      </c>
    </row>
    <row r="67" spans="1:4" ht="16">
      <c r="A67" s="3">
        <v>45</v>
      </c>
      <c r="B67" t="s">
        <v>247</v>
      </c>
      <c r="C67" t="s">
        <v>234</v>
      </c>
      <c r="D67">
        <f t="shared" si="1"/>
        <v>1</v>
      </c>
    </row>
    <row r="68" spans="1:4" ht="16">
      <c r="A68" s="3">
        <v>451</v>
      </c>
      <c r="B68" t="s">
        <v>248</v>
      </c>
      <c r="C68" t="s">
        <v>234</v>
      </c>
      <c r="D68">
        <f t="shared" si="1"/>
        <v>0</v>
      </c>
    </row>
    <row r="69" spans="1:4" ht="16">
      <c r="A69" s="3">
        <v>452</v>
      </c>
      <c r="B69" t="s">
        <v>249</v>
      </c>
      <c r="C69" t="s">
        <v>234</v>
      </c>
      <c r="D69">
        <f t="shared" si="1"/>
        <v>0</v>
      </c>
    </row>
    <row r="70" spans="1:4" ht="16">
      <c r="A70" s="3">
        <v>454</v>
      </c>
      <c r="B70" t="s">
        <v>250</v>
      </c>
      <c r="C70" t="s">
        <v>251</v>
      </c>
      <c r="D70">
        <f t="shared" si="1"/>
        <v>0</v>
      </c>
    </row>
    <row r="71" spans="1:4" ht="16">
      <c r="A71" s="3">
        <v>455</v>
      </c>
      <c r="B71" t="s">
        <v>252</v>
      </c>
      <c r="C71" t="s">
        <v>251</v>
      </c>
      <c r="D71">
        <f t="shared" si="1"/>
        <v>0</v>
      </c>
    </row>
    <row r="72" spans="1:4" ht="16">
      <c r="A72" s="3">
        <v>46</v>
      </c>
      <c r="B72" t="s">
        <v>253</v>
      </c>
      <c r="C72" t="s">
        <v>251</v>
      </c>
      <c r="D72">
        <f t="shared" si="1"/>
        <v>1</v>
      </c>
    </row>
    <row r="73" spans="1:4" ht="16">
      <c r="A73" s="3">
        <v>461</v>
      </c>
      <c r="B73" t="s">
        <v>254</v>
      </c>
      <c r="C73" t="s">
        <v>251</v>
      </c>
      <c r="D73">
        <f t="shared" si="1"/>
        <v>0</v>
      </c>
    </row>
    <row r="74" spans="1:4" ht="16">
      <c r="A74" s="3">
        <v>466</v>
      </c>
      <c r="B74" t="s">
        <v>255</v>
      </c>
      <c r="C74" t="s">
        <v>256</v>
      </c>
      <c r="D74">
        <f t="shared" ref="D74:D137" si="2">IF(EXACT(A74,LEFT(A75,LEN(A74))),1,0)</f>
        <v>0</v>
      </c>
    </row>
    <row r="75" spans="1:4" ht="16">
      <c r="A75" s="3">
        <v>467</v>
      </c>
      <c r="B75" t="s">
        <v>257</v>
      </c>
      <c r="C75" t="s">
        <v>251</v>
      </c>
      <c r="D75">
        <f t="shared" si="2"/>
        <v>0</v>
      </c>
    </row>
    <row r="76" spans="1:4" ht="16">
      <c r="A76" s="3">
        <v>468</v>
      </c>
      <c r="B76" t="s">
        <v>258</v>
      </c>
      <c r="C76" t="s">
        <v>200</v>
      </c>
      <c r="D76">
        <f t="shared" si="2"/>
        <v>0</v>
      </c>
    </row>
    <row r="77" spans="1:4" ht="16">
      <c r="A77" s="3">
        <v>48</v>
      </c>
      <c r="B77" t="s">
        <v>259</v>
      </c>
      <c r="C77" t="s">
        <v>234</v>
      </c>
      <c r="D77">
        <f t="shared" si="2"/>
        <v>0</v>
      </c>
    </row>
    <row r="78" spans="1:4" ht="16">
      <c r="A78" s="3">
        <v>49</v>
      </c>
      <c r="B78" t="s">
        <v>260</v>
      </c>
      <c r="C78" t="s">
        <v>261</v>
      </c>
      <c r="D78">
        <f t="shared" si="2"/>
        <v>1</v>
      </c>
    </row>
    <row r="79" spans="1:4" ht="16">
      <c r="A79" s="3">
        <v>491</v>
      </c>
      <c r="B79" t="s">
        <v>262</v>
      </c>
      <c r="C79" t="s">
        <v>261</v>
      </c>
      <c r="D79">
        <f t="shared" si="2"/>
        <v>0</v>
      </c>
    </row>
    <row r="80" spans="1:4" ht="16">
      <c r="A80" s="3">
        <v>492</v>
      </c>
      <c r="B80" t="s">
        <v>263</v>
      </c>
      <c r="C80" t="s">
        <v>261</v>
      </c>
      <c r="D80">
        <f t="shared" si="2"/>
        <v>0</v>
      </c>
    </row>
    <row r="81" spans="1:4" ht="16">
      <c r="A81" s="3">
        <v>493</v>
      </c>
      <c r="B81" t="s">
        <v>264</v>
      </c>
      <c r="C81" t="s">
        <v>261</v>
      </c>
      <c r="D81">
        <f t="shared" si="2"/>
        <v>0</v>
      </c>
    </row>
    <row r="82" spans="1:4" ht="16">
      <c r="A82" s="3">
        <v>494</v>
      </c>
      <c r="B82" t="s">
        <v>265</v>
      </c>
      <c r="C82" t="s">
        <v>261</v>
      </c>
      <c r="D82">
        <f t="shared" si="2"/>
        <v>0</v>
      </c>
    </row>
    <row r="83" spans="1:4" ht="16">
      <c r="A83" s="3">
        <v>5</v>
      </c>
      <c r="B83" t="s">
        <v>266</v>
      </c>
      <c r="C83" t="s">
        <v>256</v>
      </c>
      <c r="D83">
        <f t="shared" si="2"/>
        <v>1</v>
      </c>
    </row>
    <row r="84" spans="1:4" ht="16">
      <c r="A84" s="3">
        <v>50</v>
      </c>
      <c r="B84" t="s">
        <v>267</v>
      </c>
      <c r="C84" t="s">
        <v>256</v>
      </c>
      <c r="D84">
        <f t="shared" si="2"/>
        <v>0</v>
      </c>
    </row>
    <row r="85" spans="1:4" ht="16">
      <c r="A85" s="3">
        <v>51</v>
      </c>
      <c r="B85" t="s">
        <v>268</v>
      </c>
      <c r="C85" t="s">
        <v>256</v>
      </c>
      <c r="D85">
        <f t="shared" si="2"/>
        <v>1</v>
      </c>
    </row>
    <row r="86" spans="1:4" ht="16">
      <c r="A86" s="3">
        <v>5101</v>
      </c>
      <c r="B86" t="s">
        <v>269</v>
      </c>
      <c r="C86" t="s">
        <v>256</v>
      </c>
      <c r="D86">
        <f t="shared" si="2"/>
        <v>0</v>
      </c>
    </row>
    <row r="87" spans="1:4" ht="16">
      <c r="A87" s="3">
        <v>5102</v>
      </c>
      <c r="B87" t="s">
        <v>270</v>
      </c>
      <c r="C87" t="s">
        <v>256</v>
      </c>
      <c r="D87">
        <f t="shared" si="2"/>
        <v>0</v>
      </c>
    </row>
    <row r="88" spans="1:4" ht="16">
      <c r="A88" s="3">
        <v>5103</v>
      </c>
      <c r="B88" t="s">
        <v>271</v>
      </c>
      <c r="C88" t="s">
        <v>256</v>
      </c>
      <c r="D88">
        <f t="shared" si="2"/>
        <v>0</v>
      </c>
    </row>
    <row r="89" spans="1:4" ht="16">
      <c r="A89" s="3">
        <v>5104</v>
      </c>
      <c r="B89" t="s">
        <v>272</v>
      </c>
      <c r="C89" t="s">
        <v>256</v>
      </c>
      <c r="D89">
        <f t="shared" si="2"/>
        <v>0</v>
      </c>
    </row>
    <row r="90" spans="1:4" ht="16">
      <c r="A90" s="3">
        <v>5105</v>
      </c>
      <c r="B90" t="s">
        <v>273</v>
      </c>
      <c r="C90" t="s">
        <v>256</v>
      </c>
      <c r="D90">
        <f t="shared" si="2"/>
        <v>0</v>
      </c>
    </row>
    <row r="91" spans="1:4" ht="16">
      <c r="A91" s="3">
        <v>5106</v>
      </c>
      <c r="B91" t="s">
        <v>274</v>
      </c>
      <c r="C91" t="s">
        <v>256</v>
      </c>
      <c r="D91">
        <f t="shared" si="2"/>
        <v>0</v>
      </c>
    </row>
    <row r="92" spans="1:4" ht="16">
      <c r="A92" s="3">
        <v>5113</v>
      </c>
      <c r="B92" t="s">
        <v>275</v>
      </c>
      <c r="C92" t="s">
        <v>256</v>
      </c>
      <c r="D92">
        <f t="shared" si="2"/>
        <v>0</v>
      </c>
    </row>
    <row r="93" spans="1:4" ht="16">
      <c r="A93" s="3">
        <v>5199</v>
      </c>
      <c r="B93" t="s">
        <v>276</v>
      </c>
      <c r="C93" t="s">
        <v>256</v>
      </c>
      <c r="D93">
        <f t="shared" si="2"/>
        <v>0</v>
      </c>
    </row>
    <row r="94" spans="1:4" ht="16">
      <c r="A94" s="3">
        <v>52</v>
      </c>
      <c r="B94" t="s">
        <v>277</v>
      </c>
      <c r="C94" t="s">
        <v>256</v>
      </c>
      <c r="D94">
        <f t="shared" si="2"/>
        <v>1</v>
      </c>
    </row>
    <row r="95" spans="1:4" ht="16">
      <c r="A95" s="3">
        <v>5201</v>
      </c>
      <c r="B95" t="s">
        <v>278</v>
      </c>
      <c r="C95" t="s">
        <v>256</v>
      </c>
      <c r="D95">
        <f t="shared" si="2"/>
        <v>0</v>
      </c>
    </row>
    <row r="96" spans="1:4" ht="16">
      <c r="A96" s="3">
        <v>5204</v>
      </c>
      <c r="B96" t="s">
        <v>279</v>
      </c>
      <c r="C96" t="s">
        <v>256</v>
      </c>
      <c r="D96">
        <f t="shared" si="2"/>
        <v>0</v>
      </c>
    </row>
    <row r="97" spans="1:4" ht="16">
      <c r="A97" s="3">
        <v>5205</v>
      </c>
      <c r="B97" t="s">
        <v>280</v>
      </c>
      <c r="C97" t="s">
        <v>256</v>
      </c>
      <c r="D97">
        <f t="shared" si="2"/>
        <v>0</v>
      </c>
    </row>
    <row r="98" spans="1:4" ht="16">
      <c r="A98" s="3">
        <v>5206</v>
      </c>
      <c r="B98" t="s">
        <v>281</v>
      </c>
      <c r="C98" t="s">
        <v>256</v>
      </c>
      <c r="D98">
        <f t="shared" si="2"/>
        <v>0</v>
      </c>
    </row>
    <row r="99" spans="1:4" ht="16">
      <c r="A99" s="3">
        <v>522</v>
      </c>
      <c r="B99" t="s">
        <v>282</v>
      </c>
      <c r="C99" t="s">
        <v>256</v>
      </c>
      <c r="D99">
        <f t="shared" si="2"/>
        <v>1</v>
      </c>
    </row>
    <row r="100" spans="1:4" ht="16">
      <c r="A100" s="3">
        <v>5221</v>
      </c>
      <c r="B100" t="s">
        <v>283</v>
      </c>
      <c r="C100" t="s">
        <v>256</v>
      </c>
      <c r="D100">
        <f t="shared" si="2"/>
        <v>0</v>
      </c>
    </row>
    <row r="101" spans="1:4" ht="16">
      <c r="A101" s="3">
        <v>5222</v>
      </c>
      <c r="B101" t="s">
        <v>284</v>
      </c>
      <c r="C101" t="s">
        <v>256</v>
      </c>
      <c r="D101">
        <f t="shared" si="2"/>
        <v>0</v>
      </c>
    </row>
    <row r="102" spans="1:4" ht="16">
      <c r="A102" s="3">
        <v>5223</v>
      </c>
      <c r="B102" t="s">
        <v>285</v>
      </c>
      <c r="C102" t="s">
        <v>256</v>
      </c>
      <c r="D102">
        <f t="shared" si="2"/>
        <v>0</v>
      </c>
    </row>
    <row r="103" spans="1:4" ht="16">
      <c r="A103" s="3">
        <v>523</v>
      </c>
      <c r="B103" t="s">
        <v>286</v>
      </c>
      <c r="C103" t="s">
        <v>256</v>
      </c>
      <c r="D103">
        <f t="shared" si="2"/>
        <v>1</v>
      </c>
    </row>
    <row r="104" spans="1:4" ht="16">
      <c r="A104" s="3">
        <v>5231</v>
      </c>
      <c r="B104" t="s">
        <v>287</v>
      </c>
      <c r="C104" t="s">
        <v>256</v>
      </c>
      <c r="D104">
        <f t="shared" si="2"/>
        <v>0</v>
      </c>
    </row>
    <row r="105" spans="1:4" ht="16">
      <c r="A105" s="3">
        <v>5232</v>
      </c>
      <c r="B105" t="s">
        <v>288</v>
      </c>
      <c r="C105" t="s">
        <v>256</v>
      </c>
      <c r="D105">
        <f t="shared" si="2"/>
        <v>0</v>
      </c>
    </row>
    <row r="106" spans="1:4" ht="16">
      <c r="A106" s="3">
        <v>5233</v>
      </c>
      <c r="B106" t="s">
        <v>289</v>
      </c>
      <c r="C106" t="s">
        <v>256</v>
      </c>
      <c r="D106">
        <f t="shared" si="2"/>
        <v>0</v>
      </c>
    </row>
    <row r="107" spans="1:4" ht="16">
      <c r="A107" s="3">
        <v>5234</v>
      </c>
      <c r="B107" t="s">
        <v>290</v>
      </c>
      <c r="C107" t="s">
        <v>256</v>
      </c>
      <c r="D107">
        <f t="shared" si="2"/>
        <v>0</v>
      </c>
    </row>
    <row r="108" spans="1:4" ht="16">
      <c r="A108" s="3">
        <v>5235</v>
      </c>
      <c r="B108" t="s">
        <v>291</v>
      </c>
      <c r="C108" t="s">
        <v>256</v>
      </c>
      <c r="D108">
        <f t="shared" si="2"/>
        <v>0</v>
      </c>
    </row>
    <row r="109" spans="1:4" ht="16">
      <c r="A109" s="3">
        <v>5236</v>
      </c>
      <c r="B109" t="s">
        <v>292</v>
      </c>
      <c r="C109" t="s">
        <v>256</v>
      </c>
      <c r="D109">
        <f t="shared" si="2"/>
        <v>0</v>
      </c>
    </row>
    <row r="110" spans="1:4" ht="16">
      <c r="A110" s="3">
        <v>5237</v>
      </c>
      <c r="B110" t="s">
        <v>293</v>
      </c>
      <c r="C110" t="s">
        <v>256</v>
      </c>
      <c r="D110">
        <f t="shared" si="2"/>
        <v>0</v>
      </c>
    </row>
    <row r="111" spans="1:4" ht="16">
      <c r="A111" s="3">
        <v>5238</v>
      </c>
      <c r="B111" t="s">
        <v>294</v>
      </c>
      <c r="C111" t="s">
        <v>256</v>
      </c>
      <c r="D111">
        <f t="shared" si="2"/>
        <v>0</v>
      </c>
    </row>
    <row r="112" spans="1:4" ht="16">
      <c r="A112" s="3">
        <v>5239</v>
      </c>
      <c r="B112" t="s">
        <v>295</v>
      </c>
      <c r="C112" t="s">
        <v>256</v>
      </c>
      <c r="D112">
        <f t="shared" si="2"/>
        <v>0</v>
      </c>
    </row>
    <row r="113" spans="1:4" ht="16">
      <c r="A113" s="3">
        <v>527</v>
      </c>
      <c r="B113" t="s">
        <v>296</v>
      </c>
      <c r="C113" t="s">
        <v>256</v>
      </c>
      <c r="D113">
        <f t="shared" si="2"/>
        <v>1</v>
      </c>
    </row>
    <row r="114" spans="1:4" ht="16">
      <c r="A114" s="3">
        <v>5271</v>
      </c>
      <c r="B114" t="s">
        <v>297</v>
      </c>
      <c r="C114" t="s">
        <v>256</v>
      </c>
      <c r="D114">
        <f t="shared" si="2"/>
        <v>0</v>
      </c>
    </row>
    <row r="115" spans="1:4" ht="16">
      <c r="A115" s="3">
        <v>5272</v>
      </c>
      <c r="B115" t="s">
        <v>298</v>
      </c>
      <c r="C115" t="s">
        <v>256</v>
      </c>
      <c r="D115">
        <f t="shared" si="2"/>
        <v>0</v>
      </c>
    </row>
    <row r="116" spans="1:4" ht="16">
      <c r="A116" s="3">
        <v>5273</v>
      </c>
      <c r="B116" t="s">
        <v>299</v>
      </c>
      <c r="C116" t="s">
        <v>256</v>
      </c>
      <c r="D116">
        <f t="shared" si="2"/>
        <v>0</v>
      </c>
    </row>
    <row r="117" spans="1:4" ht="16">
      <c r="A117" s="3">
        <v>5274</v>
      </c>
      <c r="B117" t="s">
        <v>300</v>
      </c>
      <c r="C117" t="s">
        <v>256</v>
      </c>
      <c r="D117">
        <f t="shared" si="2"/>
        <v>0</v>
      </c>
    </row>
    <row r="118" spans="1:4" ht="16">
      <c r="A118" s="3">
        <v>5275</v>
      </c>
      <c r="B118" t="s">
        <v>301</v>
      </c>
      <c r="C118" t="s">
        <v>256</v>
      </c>
      <c r="D118">
        <f t="shared" si="2"/>
        <v>0</v>
      </c>
    </row>
    <row r="119" spans="1:4" ht="16">
      <c r="A119" s="3">
        <v>5276</v>
      </c>
      <c r="B119" t="s">
        <v>302</v>
      </c>
      <c r="C119" t="s">
        <v>256</v>
      </c>
      <c r="D119">
        <f t="shared" si="2"/>
        <v>0</v>
      </c>
    </row>
    <row r="120" spans="1:4" ht="16">
      <c r="A120" s="3">
        <v>5277</v>
      </c>
      <c r="B120" t="s">
        <v>303</v>
      </c>
      <c r="C120" t="s">
        <v>256</v>
      </c>
      <c r="D120">
        <f t="shared" si="2"/>
        <v>0</v>
      </c>
    </row>
    <row r="121" spans="1:4" ht="16">
      <c r="A121" s="3">
        <v>5279</v>
      </c>
      <c r="B121" t="s">
        <v>304</v>
      </c>
      <c r="C121" t="s">
        <v>256</v>
      </c>
      <c r="D121">
        <f t="shared" si="2"/>
        <v>0</v>
      </c>
    </row>
    <row r="122" spans="1:4" ht="16">
      <c r="A122" s="3">
        <v>5299</v>
      </c>
      <c r="B122" t="s">
        <v>305</v>
      </c>
      <c r="C122" t="s">
        <v>256</v>
      </c>
      <c r="D122">
        <f t="shared" si="2"/>
        <v>0</v>
      </c>
    </row>
    <row r="123" spans="1:4" ht="16">
      <c r="A123" s="3">
        <v>53</v>
      </c>
      <c r="B123" t="s">
        <v>306</v>
      </c>
      <c r="C123" t="s">
        <v>256</v>
      </c>
      <c r="D123">
        <f t="shared" si="2"/>
        <v>1</v>
      </c>
    </row>
    <row r="124" spans="1:4" ht="16">
      <c r="A124" s="3">
        <v>5301</v>
      </c>
      <c r="B124" t="s">
        <v>307</v>
      </c>
      <c r="C124" t="s">
        <v>256</v>
      </c>
      <c r="D124">
        <f t="shared" si="2"/>
        <v>0</v>
      </c>
    </row>
    <row r="125" spans="1:4" ht="16">
      <c r="A125" s="3">
        <v>5302</v>
      </c>
      <c r="B125" t="s">
        <v>308</v>
      </c>
      <c r="C125" t="s">
        <v>256</v>
      </c>
      <c r="D125">
        <f t="shared" si="2"/>
        <v>0</v>
      </c>
    </row>
    <row r="126" spans="1:4" ht="16">
      <c r="A126" s="3">
        <v>5303</v>
      </c>
      <c r="B126" t="s">
        <v>309</v>
      </c>
      <c r="C126" t="s">
        <v>256</v>
      </c>
      <c r="D126">
        <f t="shared" si="2"/>
        <v>0</v>
      </c>
    </row>
    <row r="127" spans="1:4" ht="16">
      <c r="A127" s="3">
        <v>5304</v>
      </c>
      <c r="B127" t="s">
        <v>310</v>
      </c>
      <c r="C127" t="s">
        <v>256</v>
      </c>
      <c r="D127">
        <f t="shared" si="2"/>
        <v>0</v>
      </c>
    </row>
    <row r="128" spans="1:4" ht="16">
      <c r="A128" s="3">
        <v>5305</v>
      </c>
      <c r="B128" t="s">
        <v>311</v>
      </c>
      <c r="C128" t="s">
        <v>256</v>
      </c>
      <c r="D128">
        <f t="shared" si="2"/>
        <v>0</v>
      </c>
    </row>
    <row r="129" spans="1:4" ht="16">
      <c r="A129" s="3">
        <v>5306</v>
      </c>
      <c r="B129" t="s">
        <v>312</v>
      </c>
      <c r="C129" t="s">
        <v>256</v>
      </c>
      <c r="D129">
        <f t="shared" si="2"/>
        <v>0</v>
      </c>
    </row>
    <row r="130" spans="1:4" ht="16">
      <c r="A130" s="3">
        <v>5307</v>
      </c>
      <c r="B130" t="s">
        <v>313</v>
      </c>
      <c r="C130" t="s">
        <v>256</v>
      </c>
      <c r="D130">
        <f t="shared" si="2"/>
        <v>0</v>
      </c>
    </row>
    <row r="131" spans="1:4" ht="16">
      <c r="A131" s="3">
        <v>5308</v>
      </c>
      <c r="B131" t="s">
        <v>314</v>
      </c>
      <c r="C131" t="s">
        <v>256</v>
      </c>
      <c r="D131">
        <f t="shared" si="2"/>
        <v>0</v>
      </c>
    </row>
    <row r="132" spans="1:4" ht="16">
      <c r="A132" s="3">
        <v>54</v>
      </c>
      <c r="B132" t="s">
        <v>315</v>
      </c>
      <c r="C132" t="s">
        <v>256</v>
      </c>
      <c r="D132">
        <f t="shared" si="2"/>
        <v>0</v>
      </c>
    </row>
    <row r="133" spans="1:4" ht="16">
      <c r="A133" s="3">
        <v>55</v>
      </c>
      <c r="B133" t="s">
        <v>316</v>
      </c>
      <c r="C133" t="s">
        <v>256</v>
      </c>
      <c r="D133">
        <f t="shared" si="2"/>
        <v>1</v>
      </c>
    </row>
    <row r="134" spans="1:4" ht="16">
      <c r="A134" s="3">
        <v>551</v>
      </c>
      <c r="B134" t="s">
        <v>317</v>
      </c>
      <c r="C134" t="s">
        <v>256</v>
      </c>
      <c r="D134">
        <f t="shared" si="2"/>
        <v>1</v>
      </c>
    </row>
    <row r="135" spans="1:4" ht="16">
      <c r="A135" s="3">
        <v>5510</v>
      </c>
      <c r="B135" t="s">
        <v>318</v>
      </c>
      <c r="C135" t="s">
        <v>256</v>
      </c>
      <c r="D135">
        <f t="shared" si="2"/>
        <v>1</v>
      </c>
    </row>
    <row r="136" spans="1:4" ht="16">
      <c r="A136" s="3">
        <v>55101</v>
      </c>
      <c r="B136" t="s">
        <v>319</v>
      </c>
      <c r="C136" t="s">
        <v>256</v>
      </c>
      <c r="D136">
        <f t="shared" si="2"/>
        <v>0</v>
      </c>
    </row>
    <row r="137" spans="1:4" ht="16">
      <c r="A137" s="3">
        <v>55102</v>
      </c>
      <c r="B137" t="s">
        <v>320</v>
      </c>
      <c r="C137" t="s">
        <v>256</v>
      </c>
      <c r="D137">
        <f t="shared" si="2"/>
        <v>0</v>
      </c>
    </row>
    <row r="138" spans="1:4" ht="16">
      <c r="A138" s="3">
        <v>5511</v>
      </c>
      <c r="B138" t="s">
        <v>321</v>
      </c>
      <c r="C138" t="s">
        <v>256</v>
      </c>
      <c r="D138">
        <f t="shared" ref="D138:D201" si="3">IF(EXACT(A138,LEFT(A139,LEN(A138))),1,0)</f>
        <v>1</v>
      </c>
    </row>
    <row r="139" spans="1:4" ht="16">
      <c r="A139" s="3">
        <v>55111</v>
      </c>
      <c r="B139" t="s">
        <v>322</v>
      </c>
      <c r="C139" t="s">
        <v>256</v>
      </c>
      <c r="D139">
        <f t="shared" si="3"/>
        <v>0</v>
      </c>
    </row>
    <row r="140" spans="1:4" ht="16">
      <c r="A140" s="3">
        <v>55112</v>
      </c>
      <c r="B140" t="s">
        <v>323</v>
      </c>
      <c r="C140" t="s">
        <v>256</v>
      </c>
      <c r="D140">
        <f t="shared" si="3"/>
        <v>0</v>
      </c>
    </row>
    <row r="141" spans="1:4" ht="16">
      <c r="A141" s="3">
        <v>5512</v>
      </c>
      <c r="B141" t="s">
        <v>324</v>
      </c>
      <c r="C141" t="s">
        <v>256</v>
      </c>
      <c r="D141">
        <f t="shared" si="3"/>
        <v>1</v>
      </c>
    </row>
    <row r="142" spans="1:4" ht="16">
      <c r="A142" s="3">
        <v>55121</v>
      </c>
      <c r="B142" t="s">
        <v>325</v>
      </c>
      <c r="C142" t="s">
        <v>256</v>
      </c>
      <c r="D142">
        <f t="shared" si="3"/>
        <v>0</v>
      </c>
    </row>
    <row r="143" spans="1:4" ht="16">
      <c r="A143" s="3">
        <v>55122</v>
      </c>
      <c r="B143" t="s">
        <v>326</v>
      </c>
      <c r="C143" t="s">
        <v>256</v>
      </c>
      <c r="D143">
        <f t="shared" si="3"/>
        <v>0</v>
      </c>
    </row>
    <row r="144" spans="1:4" ht="16">
      <c r="A144" s="3">
        <v>5513</v>
      </c>
      <c r="B144" t="s">
        <v>327</v>
      </c>
      <c r="C144" t="s">
        <v>256</v>
      </c>
      <c r="D144">
        <f t="shared" si="3"/>
        <v>1</v>
      </c>
    </row>
    <row r="145" spans="1:4" ht="16">
      <c r="A145" s="3">
        <v>55131</v>
      </c>
      <c r="B145" t="s">
        <v>328</v>
      </c>
      <c r="C145" t="s">
        <v>256</v>
      </c>
      <c r="D145">
        <f t="shared" si="3"/>
        <v>0</v>
      </c>
    </row>
    <row r="146" spans="1:4" ht="16">
      <c r="A146" s="3">
        <v>55132</v>
      </c>
      <c r="B146" t="s">
        <v>329</v>
      </c>
      <c r="C146" t="s">
        <v>256</v>
      </c>
      <c r="D146">
        <f t="shared" si="3"/>
        <v>0</v>
      </c>
    </row>
    <row r="147" spans="1:4" ht="16">
      <c r="A147" s="3">
        <v>5514</v>
      </c>
      <c r="B147" t="s">
        <v>330</v>
      </c>
      <c r="C147" t="s">
        <v>256</v>
      </c>
      <c r="D147">
        <f t="shared" si="3"/>
        <v>1</v>
      </c>
    </row>
    <row r="148" spans="1:4" ht="16">
      <c r="A148" s="3">
        <v>55141</v>
      </c>
      <c r="B148" t="s">
        <v>331</v>
      </c>
      <c r="C148" t="s">
        <v>256</v>
      </c>
      <c r="D148">
        <f t="shared" si="3"/>
        <v>0</v>
      </c>
    </row>
    <row r="149" spans="1:4" ht="16">
      <c r="A149" s="3">
        <v>55142</v>
      </c>
      <c r="B149" t="s">
        <v>332</v>
      </c>
      <c r="C149" t="s">
        <v>256</v>
      </c>
      <c r="D149">
        <f t="shared" si="3"/>
        <v>0</v>
      </c>
    </row>
    <row r="150" spans="1:4" ht="16">
      <c r="A150" s="3">
        <v>5515</v>
      </c>
      <c r="B150" t="s">
        <v>333</v>
      </c>
      <c r="C150" t="s">
        <v>256</v>
      </c>
      <c r="D150">
        <f t="shared" si="3"/>
        <v>1</v>
      </c>
    </row>
    <row r="151" spans="1:4" ht="16">
      <c r="A151" s="3">
        <v>55151</v>
      </c>
      <c r="B151" t="s">
        <v>334</v>
      </c>
      <c r="C151" t="s">
        <v>256</v>
      </c>
      <c r="D151">
        <f t="shared" si="3"/>
        <v>0</v>
      </c>
    </row>
    <row r="152" spans="1:4" ht="16">
      <c r="A152" s="3">
        <v>55152</v>
      </c>
      <c r="B152" t="s">
        <v>335</v>
      </c>
      <c r="C152" t="s">
        <v>256</v>
      </c>
      <c r="D152">
        <f t="shared" si="3"/>
        <v>0</v>
      </c>
    </row>
    <row r="153" spans="1:4" ht="16">
      <c r="A153" s="3">
        <v>5516</v>
      </c>
      <c r="B153" t="s">
        <v>336</v>
      </c>
      <c r="C153" t="s">
        <v>256</v>
      </c>
      <c r="D153">
        <f t="shared" si="3"/>
        <v>1</v>
      </c>
    </row>
    <row r="154" spans="1:4" ht="16">
      <c r="A154" s="3">
        <v>55161</v>
      </c>
      <c r="B154" t="s">
        <v>337</v>
      </c>
      <c r="C154" t="s">
        <v>256</v>
      </c>
      <c r="D154">
        <f t="shared" si="3"/>
        <v>0</v>
      </c>
    </row>
    <row r="155" spans="1:4" ht="16">
      <c r="A155" s="3">
        <v>55162</v>
      </c>
      <c r="B155" t="s">
        <v>338</v>
      </c>
      <c r="C155" t="s">
        <v>256</v>
      </c>
      <c r="D155">
        <f t="shared" si="3"/>
        <v>0</v>
      </c>
    </row>
    <row r="156" spans="1:4" ht="16">
      <c r="A156" s="3">
        <v>5517</v>
      </c>
      <c r="B156" t="s">
        <v>339</v>
      </c>
      <c r="C156" t="s">
        <v>256</v>
      </c>
      <c r="D156">
        <f t="shared" si="3"/>
        <v>1</v>
      </c>
    </row>
    <row r="157" spans="1:4" ht="16">
      <c r="A157" s="3">
        <v>55171</v>
      </c>
      <c r="B157" t="s">
        <v>340</v>
      </c>
      <c r="C157" t="s">
        <v>256</v>
      </c>
      <c r="D157">
        <f t="shared" si="3"/>
        <v>0</v>
      </c>
    </row>
    <row r="158" spans="1:4" ht="16">
      <c r="A158" s="3">
        <v>55172</v>
      </c>
      <c r="B158" t="s">
        <v>341</v>
      </c>
      <c r="C158" t="s">
        <v>256</v>
      </c>
      <c r="D158">
        <f t="shared" si="3"/>
        <v>0</v>
      </c>
    </row>
    <row r="159" spans="1:4" ht="16">
      <c r="A159" s="3">
        <v>5518</v>
      </c>
      <c r="B159" t="s">
        <v>342</v>
      </c>
      <c r="C159" t="s">
        <v>256</v>
      </c>
      <c r="D159">
        <f t="shared" si="3"/>
        <v>1</v>
      </c>
    </row>
    <row r="160" spans="1:4" ht="16">
      <c r="A160" s="3">
        <v>55181</v>
      </c>
      <c r="B160" t="s">
        <v>343</v>
      </c>
      <c r="C160" t="s">
        <v>256</v>
      </c>
      <c r="D160">
        <f t="shared" si="3"/>
        <v>0</v>
      </c>
    </row>
    <row r="161" spans="1:4" ht="16">
      <c r="A161" s="3">
        <v>5519</v>
      </c>
      <c r="B161" t="s">
        <v>344</v>
      </c>
      <c r="C161" t="s">
        <v>256</v>
      </c>
      <c r="D161">
        <f t="shared" si="3"/>
        <v>1</v>
      </c>
    </row>
    <row r="162" spans="1:4" ht="16">
      <c r="A162" s="3">
        <v>55190</v>
      </c>
      <c r="B162" t="s">
        <v>345</v>
      </c>
      <c r="C162" t="s">
        <v>256</v>
      </c>
      <c r="D162">
        <f t="shared" si="3"/>
        <v>0</v>
      </c>
    </row>
    <row r="163" spans="1:4" ht="16">
      <c r="A163" s="3">
        <v>55191</v>
      </c>
      <c r="B163" t="s">
        <v>346</v>
      </c>
      <c r="C163" t="s">
        <v>256</v>
      </c>
      <c r="D163">
        <f t="shared" si="3"/>
        <v>0</v>
      </c>
    </row>
    <row r="164" spans="1:4" ht="16">
      <c r="A164" s="3">
        <v>55192</v>
      </c>
      <c r="B164" t="s">
        <v>347</v>
      </c>
      <c r="C164" t="s">
        <v>256</v>
      </c>
      <c r="D164">
        <f t="shared" si="3"/>
        <v>0</v>
      </c>
    </row>
    <row r="165" spans="1:4" ht="16">
      <c r="A165" s="3">
        <v>55193</v>
      </c>
      <c r="B165" t="s">
        <v>348</v>
      </c>
      <c r="C165" t="s">
        <v>256</v>
      </c>
      <c r="D165">
        <f t="shared" si="3"/>
        <v>0</v>
      </c>
    </row>
    <row r="166" spans="1:4" ht="16">
      <c r="A166" s="3">
        <v>552</v>
      </c>
      <c r="B166" t="s">
        <v>349</v>
      </c>
      <c r="C166" t="s">
        <v>256</v>
      </c>
      <c r="D166">
        <f t="shared" si="3"/>
        <v>1</v>
      </c>
    </row>
    <row r="167" spans="1:4" ht="16">
      <c r="A167" s="3">
        <v>5521</v>
      </c>
      <c r="B167" t="s">
        <v>350</v>
      </c>
      <c r="C167" t="s">
        <v>256</v>
      </c>
      <c r="D167">
        <f t="shared" si="3"/>
        <v>0</v>
      </c>
    </row>
    <row r="168" spans="1:4" ht="16">
      <c r="A168" s="3">
        <v>5522</v>
      </c>
      <c r="B168" t="s">
        <v>351</v>
      </c>
      <c r="C168" t="s">
        <v>256</v>
      </c>
      <c r="D168">
        <f t="shared" si="3"/>
        <v>0</v>
      </c>
    </row>
    <row r="169" spans="1:4" ht="16">
      <c r="A169" s="3">
        <v>5523</v>
      </c>
      <c r="B169" t="s">
        <v>352</v>
      </c>
      <c r="C169" t="s">
        <v>256</v>
      </c>
      <c r="D169">
        <f t="shared" si="3"/>
        <v>0</v>
      </c>
    </row>
    <row r="170" spans="1:4" ht="16">
      <c r="A170" s="3">
        <v>5524</v>
      </c>
      <c r="B170" t="s">
        <v>353</v>
      </c>
      <c r="C170" t="s">
        <v>256</v>
      </c>
      <c r="D170">
        <f t="shared" si="3"/>
        <v>0</v>
      </c>
    </row>
    <row r="171" spans="1:4" ht="16">
      <c r="A171" s="3">
        <v>5525</v>
      </c>
      <c r="B171" t="s">
        <v>354</v>
      </c>
      <c r="C171" t="s">
        <v>256</v>
      </c>
      <c r="D171">
        <f t="shared" si="3"/>
        <v>0</v>
      </c>
    </row>
    <row r="172" spans="1:4" ht="16">
      <c r="A172" s="3">
        <v>553</v>
      </c>
      <c r="B172" t="s">
        <v>355</v>
      </c>
      <c r="C172" t="s">
        <v>256</v>
      </c>
      <c r="D172">
        <f t="shared" si="3"/>
        <v>1</v>
      </c>
    </row>
    <row r="173" spans="1:4" ht="16">
      <c r="A173" s="3">
        <v>5531</v>
      </c>
      <c r="B173" t="s">
        <v>356</v>
      </c>
      <c r="C173" t="s">
        <v>256</v>
      </c>
      <c r="D173">
        <f t="shared" si="3"/>
        <v>1</v>
      </c>
    </row>
    <row r="174" spans="1:4" ht="16">
      <c r="A174" s="3">
        <v>55311</v>
      </c>
      <c r="B174" t="s">
        <v>357</v>
      </c>
      <c r="C174" t="s">
        <v>256</v>
      </c>
      <c r="D174">
        <f t="shared" si="3"/>
        <v>0</v>
      </c>
    </row>
    <row r="175" spans="1:4" ht="16">
      <c r="A175" s="3">
        <v>55312</v>
      </c>
      <c r="B175" t="s">
        <v>358</v>
      </c>
      <c r="C175" t="s">
        <v>256</v>
      </c>
      <c r="D175">
        <f t="shared" si="3"/>
        <v>0</v>
      </c>
    </row>
    <row r="176" spans="1:4" ht="16">
      <c r="A176" s="3">
        <v>5532</v>
      </c>
      <c r="B176" t="s">
        <v>359</v>
      </c>
      <c r="C176" t="s">
        <v>256</v>
      </c>
      <c r="D176">
        <f t="shared" si="3"/>
        <v>1</v>
      </c>
    </row>
    <row r="177" spans="1:4" ht="16">
      <c r="A177" s="3">
        <v>55321</v>
      </c>
      <c r="B177" t="s">
        <v>360</v>
      </c>
      <c r="C177" t="s">
        <v>256</v>
      </c>
      <c r="D177">
        <f t="shared" si="3"/>
        <v>0</v>
      </c>
    </row>
    <row r="178" spans="1:4" ht="16">
      <c r="A178" s="3">
        <v>55322</v>
      </c>
      <c r="B178" t="s">
        <v>361</v>
      </c>
      <c r="C178" t="s">
        <v>256</v>
      </c>
      <c r="D178">
        <f t="shared" si="3"/>
        <v>0</v>
      </c>
    </row>
    <row r="179" spans="1:4" ht="16">
      <c r="A179" s="3">
        <v>55323</v>
      </c>
      <c r="B179" t="s">
        <v>362</v>
      </c>
      <c r="C179" t="s">
        <v>256</v>
      </c>
      <c r="D179">
        <f t="shared" si="3"/>
        <v>0</v>
      </c>
    </row>
    <row r="180" spans="1:4" ht="16">
      <c r="A180" s="3">
        <v>5533</v>
      </c>
      <c r="B180" t="s">
        <v>363</v>
      </c>
      <c r="C180" t="s">
        <v>256</v>
      </c>
      <c r="D180">
        <f t="shared" si="3"/>
        <v>1</v>
      </c>
    </row>
    <row r="181" spans="1:4" ht="16">
      <c r="A181" s="3">
        <v>55331</v>
      </c>
      <c r="B181" t="s">
        <v>364</v>
      </c>
      <c r="C181" t="s">
        <v>256</v>
      </c>
      <c r="D181">
        <f t="shared" si="3"/>
        <v>0</v>
      </c>
    </row>
    <row r="182" spans="1:4" ht="16">
      <c r="A182" s="3">
        <v>55332</v>
      </c>
      <c r="B182" t="s">
        <v>365</v>
      </c>
      <c r="C182" t="s">
        <v>256</v>
      </c>
      <c r="D182">
        <f t="shared" si="3"/>
        <v>0</v>
      </c>
    </row>
    <row r="183" spans="1:4" ht="16">
      <c r="A183" s="3">
        <v>5534</v>
      </c>
      <c r="B183" t="s">
        <v>366</v>
      </c>
      <c r="C183" t="s">
        <v>256</v>
      </c>
      <c r="D183">
        <f t="shared" si="3"/>
        <v>1</v>
      </c>
    </row>
    <row r="184" spans="1:4" ht="16">
      <c r="A184" s="3">
        <v>55341</v>
      </c>
      <c r="B184" t="s">
        <v>367</v>
      </c>
      <c r="C184" t="s">
        <v>256</v>
      </c>
      <c r="D184">
        <f t="shared" si="3"/>
        <v>0</v>
      </c>
    </row>
    <row r="185" spans="1:4" ht="16">
      <c r="A185" s="3">
        <v>55342</v>
      </c>
      <c r="B185" t="s">
        <v>368</v>
      </c>
      <c r="C185" t="s">
        <v>256</v>
      </c>
      <c r="D185">
        <f t="shared" si="3"/>
        <v>0</v>
      </c>
    </row>
    <row r="186" spans="1:4" ht="16">
      <c r="A186" s="3">
        <v>5535</v>
      </c>
      <c r="B186" t="s">
        <v>369</v>
      </c>
      <c r="C186" t="s">
        <v>256</v>
      </c>
      <c r="D186">
        <f t="shared" si="3"/>
        <v>1</v>
      </c>
    </row>
    <row r="187" spans="1:4" ht="16">
      <c r="A187" s="3">
        <v>55351</v>
      </c>
      <c r="B187" t="s">
        <v>370</v>
      </c>
      <c r="C187" t="s">
        <v>256</v>
      </c>
      <c r="D187">
        <f t="shared" si="3"/>
        <v>0</v>
      </c>
    </row>
    <row r="188" spans="1:4" ht="16">
      <c r="A188" s="3">
        <v>55352</v>
      </c>
      <c r="B188" t="s">
        <v>371</v>
      </c>
      <c r="C188" t="s">
        <v>256</v>
      </c>
      <c r="D188">
        <f t="shared" si="3"/>
        <v>0</v>
      </c>
    </row>
    <row r="189" spans="1:4" ht="16">
      <c r="A189" s="3">
        <v>5536</v>
      </c>
      <c r="B189" t="s">
        <v>372</v>
      </c>
      <c r="C189" t="s">
        <v>256</v>
      </c>
      <c r="D189">
        <f t="shared" si="3"/>
        <v>1</v>
      </c>
    </row>
    <row r="190" spans="1:4" ht="16">
      <c r="A190" s="3">
        <v>55361</v>
      </c>
      <c r="B190" t="s">
        <v>373</v>
      </c>
      <c r="C190" t="s">
        <v>256</v>
      </c>
      <c r="D190">
        <f t="shared" si="3"/>
        <v>0</v>
      </c>
    </row>
    <row r="191" spans="1:4" ht="16">
      <c r="A191" s="3">
        <v>55362</v>
      </c>
      <c r="B191" t="s">
        <v>374</v>
      </c>
      <c r="C191" t="s">
        <v>256</v>
      </c>
      <c r="D191">
        <f t="shared" si="3"/>
        <v>0</v>
      </c>
    </row>
    <row r="192" spans="1:4" ht="16">
      <c r="A192" s="3">
        <v>5537</v>
      </c>
      <c r="B192" t="s">
        <v>375</v>
      </c>
      <c r="C192" t="s">
        <v>256</v>
      </c>
      <c r="D192">
        <f t="shared" si="3"/>
        <v>1</v>
      </c>
    </row>
    <row r="193" spans="1:4" ht="16">
      <c r="A193" s="3">
        <v>55371</v>
      </c>
      <c r="B193" t="s">
        <v>376</v>
      </c>
      <c r="C193" t="s">
        <v>256</v>
      </c>
      <c r="D193">
        <f t="shared" si="3"/>
        <v>0</v>
      </c>
    </row>
    <row r="194" spans="1:4" ht="16">
      <c r="A194" s="3">
        <v>55372</v>
      </c>
      <c r="B194" t="s">
        <v>377</v>
      </c>
      <c r="C194" t="s">
        <v>256</v>
      </c>
      <c r="D194">
        <f t="shared" si="3"/>
        <v>0</v>
      </c>
    </row>
    <row r="195" spans="1:4" ht="16">
      <c r="A195" s="3">
        <v>5538</v>
      </c>
      <c r="B195" t="s">
        <v>378</v>
      </c>
      <c r="C195" t="s">
        <v>256</v>
      </c>
      <c r="D195">
        <f t="shared" si="3"/>
        <v>1</v>
      </c>
    </row>
    <row r="196" spans="1:4" ht="16">
      <c r="A196" s="3">
        <v>55381</v>
      </c>
      <c r="B196" t="s">
        <v>379</v>
      </c>
      <c r="C196" t="s">
        <v>256</v>
      </c>
      <c r="D196">
        <f t="shared" si="3"/>
        <v>0</v>
      </c>
    </row>
    <row r="197" spans="1:4" ht="16">
      <c r="A197" s="3">
        <v>55382</v>
      </c>
      <c r="B197" t="s">
        <v>380</v>
      </c>
      <c r="C197" t="s">
        <v>256</v>
      </c>
      <c r="D197">
        <f t="shared" si="3"/>
        <v>0</v>
      </c>
    </row>
    <row r="198" spans="1:4" ht="16">
      <c r="A198" s="3">
        <v>5539</v>
      </c>
      <c r="B198" t="s">
        <v>381</v>
      </c>
      <c r="C198" t="s">
        <v>256</v>
      </c>
      <c r="D198">
        <f t="shared" si="3"/>
        <v>1</v>
      </c>
    </row>
    <row r="199" spans="1:4" ht="16">
      <c r="A199" s="3">
        <v>55391</v>
      </c>
      <c r="B199" t="s">
        <v>382</v>
      </c>
      <c r="C199" t="s">
        <v>256</v>
      </c>
      <c r="D199">
        <f t="shared" si="3"/>
        <v>0</v>
      </c>
    </row>
    <row r="200" spans="1:4" ht="16">
      <c r="A200" s="3">
        <v>55392</v>
      </c>
      <c r="B200" t="s">
        <v>383</v>
      </c>
      <c r="C200" t="s">
        <v>256</v>
      </c>
      <c r="D200">
        <f t="shared" si="3"/>
        <v>0</v>
      </c>
    </row>
    <row r="201" spans="1:4" ht="16">
      <c r="A201" s="3">
        <v>554</v>
      </c>
      <c r="B201" t="s">
        <v>384</v>
      </c>
      <c r="C201" t="s">
        <v>256</v>
      </c>
      <c r="D201">
        <f t="shared" si="3"/>
        <v>1</v>
      </c>
    </row>
    <row r="202" spans="1:4" ht="16">
      <c r="A202" s="3">
        <v>5541</v>
      </c>
      <c r="B202" t="s">
        <v>385</v>
      </c>
      <c r="C202" t="s">
        <v>256</v>
      </c>
      <c r="D202">
        <f t="shared" ref="D202:D265" si="4">IF(EXACT(A202,LEFT(A203,LEN(A202))),1,0)</f>
        <v>0</v>
      </c>
    </row>
    <row r="203" spans="1:4" ht="16">
      <c r="A203" s="3">
        <v>5542</v>
      </c>
      <c r="B203" t="s">
        <v>386</v>
      </c>
      <c r="C203" t="s">
        <v>256</v>
      </c>
      <c r="D203">
        <f t="shared" si="4"/>
        <v>0</v>
      </c>
    </row>
    <row r="204" spans="1:4" ht="16">
      <c r="A204" s="3">
        <v>5543</v>
      </c>
      <c r="B204" t="s">
        <v>387</v>
      </c>
      <c r="C204" t="s">
        <v>256</v>
      </c>
      <c r="D204">
        <f t="shared" si="4"/>
        <v>0</v>
      </c>
    </row>
    <row r="205" spans="1:4" ht="16">
      <c r="A205" s="3">
        <v>5544</v>
      </c>
      <c r="B205" t="s">
        <v>388</v>
      </c>
      <c r="C205" t="s">
        <v>256</v>
      </c>
      <c r="D205">
        <f t="shared" si="4"/>
        <v>0</v>
      </c>
    </row>
    <row r="206" spans="1:4" ht="16">
      <c r="A206" s="3">
        <v>5545</v>
      </c>
      <c r="B206" t="s">
        <v>389</v>
      </c>
      <c r="C206" t="s">
        <v>256</v>
      </c>
      <c r="D206">
        <f t="shared" si="4"/>
        <v>0</v>
      </c>
    </row>
    <row r="207" spans="1:4" ht="16">
      <c r="A207" s="3">
        <v>5546</v>
      </c>
      <c r="B207" t="s">
        <v>390</v>
      </c>
      <c r="C207" t="s">
        <v>256</v>
      </c>
      <c r="D207">
        <f t="shared" si="4"/>
        <v>0</v>
      </c>
    </row>
    <row r="208" spans="1:4" ht="16">
      <c r="A208" s="3">
        <v>5547</v>
      </c>
      <c r="B208" t="s">
        <v>391</v>
      </c>
      <c r="C208" t="s">
        <v>256</v>
      </c>
      <c r="D208">
        <f t="shared" si="4"/>
        <v>0</v>
      </c>
    </row>
    <row r="209" spans="1:4" ht="16">
      <c r="A209" s="3">
        <v>5549</v>
      </c>
      <c r="B209" t="s">
        <v>392</v>
      </c>
      <c r="C209" t="s">
        <v>256</v>
      </c>
      <c r="D209">
        <f t="shared" si="4"/>
        <v>0</v>
      </c>
    </row>
    <row r="210" spans="1:4" ht="16">
      <c r="A210" s="3">
        <v>555</v>
      </c>
      <c r="B210" t="s">
        <v>393</v>
      </c>
      <c r="C210" t="s">
        <v>256</v>
      </c>
      <c r="D210">
        <f t="shared" si="4"/>
        <v>1</v>
      </c>
    </row>
    <row r="211" spans="1:4" ht="16">
      <c r="A211" s="3">
        <v>5551</v>
      </c>
      <c r="B211" t="s">
        <v>394</v>
      </c>
      <c r="C211" t="s">
        <v>256</v>
      </c>
      <c r="D211">
        <f t="shared" si="4"/>
        <v>0</v>
      </c>
    </row>
    <row r="212" spans="1:4" ht="16">
      <c r="A212" s="3">
        <v>5552</v>
      </c>
      <c r="B212" t="s">
        <v>395</v>
      </c>
      <c r="C212" t="s">
        <v>256</v>
      </c>
      <c r="D212">
        <f t="shared" si="4"/>
        <v>0</v>
      </c>
    </row>
    <row r="213" spans="1:4" ht="16">
      <c r="A213" s="3">
        <v>56</v>
      </c>
      <c r="B213" t="s">
        <v>396</v>
      </c>
      <c r="C213" t="s">
        <v>256</v>
      </c>
      <c r="D213">
        <f t="shared" si="4"/>
        <v>0</v>
      </c>
    </row>
    <row r="214" spans="1:4" ht="16">
      <c r="A214" s="3">
        <v>57</v>
      </c>
      <c r="B214" t="s">
        <v>397</v>
      </c>
      <c r="C214" t="s">
        <v>256</v>
      </c>
      <c r="D214">
        <f t="shared" si="4"/>
        <v>1</v>
      </c>
    </row>
    <row r="215" spans="1:4" ht="16">
      <c r="A215" s="3">
        <v>571</v>
      </c>
      <c r="B215" t="s">
        <v>398</v>
      </c>
      <c r="C215" t="s">
        <v>256</v>
      </c>
      <c r="D215">
        <f t="shared" si="4"/>
        <v>0</v>
      </c>
    </row>
    <row r="216" spans="1:4" ht="16">
      <c r="A216" s="3">
        <v>572</v>
      </c>
      <c r="B216" t="s">
        <v>399</v>
      </c>
      <c r="C216" t="s">
        <v>256</v>
      </c>
      <c r="D216">
        <f t="shared" si="4"/>
        <v>0</v>
      </c>
    </row>
    <row r="217" spans="1:4" ht="16">
      <c r="A217" s="3">
        <v>573</v>
      </c>
      <c r="B217" t="s">
        <v>400</v>
      </c>
      <c r="C217" t="s">
        <v>256</v>
      </c>
      <c r="D217">
        <f t="shared" si="4"/>
        <v>0</v>
      </c>
    </row>
    <row r="218" spans="1:4" ht="16">
      <c r="A218" s="3">
        <v>58</v>
      </c>
      <c r="B218" t="s">
        <v>401</v>
      </c>
      <c r="C218" t="s">
        <v>256</v>
      </c>
      <c r="D218">
        <f t="shared" si="4"/>
        <v>0</v>
      </c>
    </row>
    <row r="219" spans="1:4" ht="16">
      <c r="A219" s="3">
        <v>59</v>
      </c>
      <c r="B219" t="s">
        <v>402</v>
      </c>
      <c r="C219" t="s">
        <v>256</v>
      </c>
      <c r="D219">
        <f t="shared" si="4"/>
        <v>0</v>
      </c>
    </row>
    <row r="220" spans="1:4" ht="16">
      <c r="A220" s="3">
        <v>6</v>
      </c>
      <c r="B220" t="s">
        <v>403</v>
      </c>
      <c r="C220" t="s">
        <v>256</v>
      </c>
      <c r="D220">
        <f t="shared" si="4"/>
        <v>1</v>
      </c>
    </row>
    <row r="221" spans="1:4" ht="16">
      <c r="A221" s="3">
        <v>61</v>
      </c>
      <c r="B221" t="s">
        <v>193</v>
      </c>
      <c r="C221" t="s">
        <v>256</v>
      </c>
      <c r="D221">
        <f t="shared" si="4"/>
        <v>0</v>
      </c>
    </row>
    <row r="222" spans="1:4" ht="16">
      <c r="A222" s="3">
        <v>62</v>
      </c>
      <c r="B222" t="s">
        <v>404</v>
      </c>
      <c r="C222" t="s">
        <v>256</v>
      </c>
      <c r="D222">
        <f t="shared" si="4"/>
        <v>1</v>
      </c>
    </row>
    <row r="223" spans="1:4" ht="16">
      <c r="A223" s="3">
        <v>621</v>
      </c>
      <c r="B223" t="s">
        <v>405</v>
      </c>
      <c r="C223" t="s">
        <v>256</v>
      </c>
      <c r="D223">
        <f t="shared" si="4"/>
        <v>0</v>
      </c>
    </row>
    <row r="224" spans="1:4" ht="16">
      <c r="A224" s="3">
        <v>622</v>
      </c>
      <c r="B224" t="s">
        <v>406</v>
      </c>
      <c r="C224" t="s">
        <v>256</v>
      </c>
      <c r="D224">
        <f t="shared" si="4"/>
        <v>0</v>
      </c>
    </row>
    <row r="225" spans="1:4" ht="16">
      <c r="A225" s="3">
        <v>623</v>
      </c>
      <c r="B225" t="s">
        <v>407</v>
      </c>
      <c r="C225" t="s">
        <v>256</v>
      </c>
      <c r="D225">
        <f t="shared" si="4"/>
        <v>0</v>
      </c>
    </row>
    <row r="226" spans="1:4" ht="16">
      <c r="A226" s="3">
        <v>63</v>
      </c>
      <c r="B226" t="s">
        <v>306</v>
      </c>
      <c r="C226" t="s">
        <v>256</v>
      </c>
      <c r="D226">
        <f t="shared" si="4"/>
        <v>1</v>
      </c>
    </row>
    <row r="227" spans="1:4" ht="16">
      <c r="A227" s="3">
        <v>6304</v>
      </c>
      <c r="B227" t="s">
        <v>310</v>
      </c>
      <c r="C227" t="s">
        <v>256</v>
      </c>
      <c r="D227">
        <f t="shared" si="4"/>
        <v>0</v>
      </c>
    </row>
    <row r="228" spans="1:4" ht="16">
      <c r="A228" s="3">
        <v>6306</v>
      </c>
      <c r="B228" t="s">
        <v>312</v>
      </c>
      <c r="C228" t="s">
        <v>256</v>
      </c>
      <c r="D228">
        <f t="shared" si="4"/>
        <v>0</v>
      </c>
    </row>
    <row r="229" spans="1:4" ht="16">
      <c r="A229" s="3">
        <v>7</v>
      </c>
      <c r="B229" t="s">
        <v>408</v>
      </c>
      <c r="C229" t="s">
        <v>409</v>
      </c>
      <c r="D229">
        <f t="shared" si="4"/>
        <v>1</v>
      </c>
    </row>
    <row r="230" spans="1:4" ht="16">
      <c r="A230" s="3">
        <v>71</v>
      </c>
      <c r="B230" t="s">
        <v>410</v>
      </c>
      <c r="C230" t="s">
        <v>409</v>
      </c>
      <c r="D230">
        <f t="shared" si="4"/>
        <v>1</v>
      </c>
    </row>
    <row r="231" spans="1:4" ht="16">
      <c r="A231" s="3">
        <v>711</v>
      </c>
      <c r="B231" t="s">
        <v>411</v>
      </c>
      <c r="C231" t="s">
        <v>409</v>
      </c>
      <c r="D231">
        <f t="shared" si="4"/>
        <v>0</v>
      </c>
    </row>
    <row r="232" spans="1:4" ht="16">
      <c r="A232" s="3">
        <v>712</v>
      </c>
      <c r="B232" t="s">
        <v>412</v>
      </c>
      <c r="C232" t="s">
        <v>409</v>
      </c>
      <c r="D232">
        <f t="shared" si="4"/>
        <v>0</v>
      </c>
    </row>
    <row r="233" spans="1:4" ht="16">
      <c r="A233" s="3">
        <v>75</v>
      </c>
      <c r="B233" t="s">
        <v>413</v>
      </c>
      <c r="C233" t="s">
        <v>409</v>
      </c>
      <c r="D233">
        <f t="shared" si="4"/>
        <v>0</v>
      </c>
    </row>
    <row r="234" spans="1:4" ht="16">
      <c r="A234" s="3">
        <v>8</v>
      </c>
      <c r="B234" t="s">
        <v>414</v>
      </c>
      <c r="C234" t="s">
        <v>256</v>
      </c>
      <c r="D234">
        <f t="shared" si="4"/>
        <v>1</v>
      </c>
    </row>
    <row r="235" spans="1:4" ht="16">
      <c r="A235" s="3">
        <v>80</v>
      </c>
      <c r="B235" t="s">
        <v>267</v>
      </c>
      <c r="C235" t="s">
        <v>256</v>
      </c>
      <c r="D235">
        <f t="shared" si="4"/>
        <v>0</v>
      </c>
    </row>
    <row r="236" spans="1:4" ht="16">
      <c r="A236" s="3">
        <v>86</v>
      </c>
      <c r="B236" t="s">
        <v>415</v>
      </c>
      <c r="C236" t="s">
        <v>256</v>
      </c>
      <c r="D236">
        <f t="shared" si="4"/>
        <v>1</v>
      </c>
    </row>
    <row r="237" spans="1:4" ht="16">
      <c r="A237" s="3">
        <v>861</v>
      </c>
      <c r="B237" t="s">
        <v>416</v>
      </c>
      <c r="C237" t="s">
        <v>256</v>
      </c>
      <c r="D237">
        <f t="shared" si="4"/>
        <v>0</v>
      </c>
    </row>
    <row r="238" spans="1:4" ht="16">
      <c r="A238" s="3">
        <v>862</v>
      </c>
      <c r="B238" t="s">
        <v>417</v>
      </c>
      <c r="C238" t="s">
        <v>256</v>
      </c>
      <c r="D238">
        <f t="shared" si="4"/>
        <v>0</v>
      </c>
    </row>
    <row r="239" spans="1:4" ht="16">
      <c r="A239" s="3">
        <v>863</v>
      </c>
      <c r="B239" t="s">
        <v>418</v>
      </c>
      <c r="C239" t="s">
        <v>256</v>
      </c>
      <c r="D239">
        <f t="shared" si="4"/>
        <v>0</v>
      </c>
    </row>
    <row r="240" spans="1:4" ht="16">
      <c r="A240" s="3">
        <v>869</v>
      </c>
      <c r="B240" t="s">
        <v>419</v>
      </c>
      <c r="C240" t="s">
        <v>256</v>
      </c>
      <c r="D240">
        <f t="shared" si="4"/>
        <v>0</v>
      </c>
    </row>
    <row r="241" spans="1:4" ht="16">
      <c r="A241" s="3">
        <v>87</v>
      </c>
      <c r="B241" t="s">
        <v>420</v>
      </c>
      <c r="C241" t="s">
        <v>256</v>
      </c>
      <c r="D241">
        <f t="shared" si="4"/>
        <v>1</v>
      </c>
    </row>
    <row r="242" spans="1:4" ht="16">
      <c r="A242" s="3">
        <v>871</v>
      </c>
      <c r="B242" t="s">
        <v>421</v>
      </c>
      <c r="C242" t="s">
        <v>256</v>
      </c>
      <c r="D242">
        <f t="shared" si="4"/>
        <v>0</v>
      </c>
    </row>
    <row r="243" spans="1:4" ht="16">
      <c r="A243" s="3">
        <v>89</v>
      </c>
      <c r="B243" t="s">
        <v>422</v>
      </c>
      <c r="C243" t="s">
        <v>256</v>
      </c>
      <c r="D243">
        <f t="shared" si="4"/>
        <v>1</v>
      </c>
    </row>
    <row r="244" spans="1:4" ht="16">
      <c r="A244" s="3">
        <v>891</v>
      </c>
      <c r="B244" t="s">
        <v>423</v>
      </c>
      <c r="C244" t="s">
        <v>256</v>
      </c>
      <c r="D244">
        <f t="shared" si="4"/>
        <v>0</v>
      </c>
    </row>
    <row r="245" spans="1:4" ht="16">
      <c r="A245" s="3">
        <v>9</v>
      </c>
      <c r="B245" t="s">
        <v>424</v>
      </c>
      <c r="C245" t="s">
        <v>409</v>
      </c>
      <c r="D245">
        <f t="shared" si="4"/>
        <v>1</v>
      </c>
    </row>
    <row r="246" spans="1:4" ht="16">
      <c r="A246" s="3">
        <v>90</v>
      </c>
      <c r="B246" t="s">
        <v>425</v>
      </c>
      <c r="C246" t="s">
        <v>256</v>
      </c>
      <c r="D246">
        <f t="shared" si="4"/>
        <v>0</v>
      </c>
    </row>
    <row r="247" spans="1:4" ht="16">
      <c r="A247" s="3">
        <v>91</v>
      </c>
      <c r="B247" t="s">
        <v>426</v>
      </c>
      <c r="C247" t="s">
        <v>409</v>
      </c>
      <c r="D247">
        <f t="shared" si="4"/>
        <v>1</v>
      </c>
    </row>
    <row r="248" spans="1:4" ht="16">
      <c r="A248" s="3">
        <v>911</v>
      </c>
      <c r="B248" t="s">
        <v>427</v>
      </c>
      <c r="C248" t="s">
        <v>409</v>
      </c>
      <c r="D248">
        <f t="shared" si="4"/>
        <v>0</v>
      </c>
    </row>
    <row r="249" spans="1:4" ht="16">
      <c r="A249" s="3">
        <v>915</v>
      </c>
      <c r="B249" t="s">
        <v>428</v>
      </c>
      <c r="C249" t="s">
        <v>409</v>
      </c>
      <c r="D249">
        <f t="shared" si="4"/>
        <v>0</v>
      </c>
    </row>
    <row r="250" spans="1:4" ht="16">
      <c r="A250" s="3">
        <v>95</v>
      </c>
      <c r="B250" t="s">
        <v>429</v>
      </c>
      <c r="C250" t="s">
        <v>409</v>
      </c>
      <c r="D250">
        <f t="shared" si="4"/>
        <v>1</v>
      </c>
    </row>
    <row r="251" spans="1:4" ht="16">
      <c r="A251" s="3">
        <v>951</v>
      </c>
      <c r="B251" t="s">
        <v>430</v>
      </c>
      <c r="C251" t="s">
        <v>409</v>
      </c>
      <c r="D251">
        <f t="shared" si="4"/>
        <v>0</v>
      </c>
    </row>
    <row r="252" spans="1:4" ht="16">
      <c r="A252" s="3">
        <v>952</v>
      </c>
      <c r="B252" t="s">
        <v>431</v>
      </c>
      <c r="C252" t="s">
        <v>409</v>
      </c>
      <c r="D252">
        <f t="shared" si="4"/>
        <v>1</v>
      </c>
    </row>
    <row r="253" spans="1:4" ht="16">
      <c r="A253" s="3">
        <v>9521</v>
      </c>
      <c r="B253" t="s">
        <v>432</v>
      </c>
      <c r="C253" t="s">
        <v>409</v>
      </c>
      <c r="D253">
        <f t="shared" si="4"/>
        <v>0</v>
      </c>
    </row>
    <row r="254" spans="1:4" ht="16">
      <c r="A254" s="3">
        <v>9522</v>
      </c>
      <c r="B254" t="s">
        <v>433</v>
      </c>
      <c r="C254" t="s">
        <v>409</v>
      </c>
      <c r="D254">
        <f t="shared" si="4"/>
        <v>0</v>
      </c>
    </row>
    <row r="255" spans="1:4" ht="16">
      <c r="A255" s="3">
        <v>9523</v>
      </c>
      <c r="B255" t="s">
        <v>434</v>
      </c>
      <c r="C255" t="s">
        <v>409</v>
      </c>
      <c r="D255">
        <f t="shared" si="4"/>
        <v>0</v>
      </c>
    </row>
    <row r="256" spans="1:4" ht="16">
      <c r="A256" s="3">
        <v>9524</v>
      </c>
      <c r="B256" t="s">
        <v>435</v>
      </c>
      <c r="C256" t="s">
        <v>409</v>
      </c>
      <c r="D256">
        <f t="shared" si="4"/>
        <v>0</v>
      </c>
    </row>
    <row r="257" spans="1:4" ht="16">
      <c r="A257" s="3">
        <v>9525</v>
      </c>
      <c r="B257" t="s">
        <v>436</v>
      </c>
      <c r="C257" t="s">
        <v>409</v>
      </c>
      <c r="D257">
        <f t="shared" si="4"/>
        <v>0</v>
      </c>
    </row>
    <row r="258" spans="1:4" ht="16">
      <c r="A258" s="3">
        <v>9526</v>
      </c>
      <c r="B258" t="s">
        <v>437</v>
      </c>
      <c r="C258" t="s">
        <v>409</v>
      </c>
      <c r="D258">
        <f t="shared" si="4"/>
        <v>0</v>
      </c>
    </row>
    <row r="259" spans="1:4" ht="16">
      <c r="A259" s="3">
        <v>9529</v>
      </c>
      <c r="B259" t="s">
        <v>438</v>
      </c>
      <c r="C259" t="s">
        <v>409</v>
      </c>
      <c r="D259">
        <f t="shared" si="4"/>
        <v>0</v>
      </c>
    </row>
    <row r="260" spans="1:4" ht="16">
      <c r="A260" s="3">
        <v>953</v>
      </c>
      <c r="B260" t="s">
        <v>439</v>
      </c>
      <c r="C260" t="s">
        <v>409</v>
      </c>
      <c r="D260">
        <f t="shared" si="4"/>
        <v>0</v>
      </c>
    </row>
    <row r="261" spans="1:4" ht="16">
      <c r="A261" s="3">
        <v>954</v>
      </c>
      <c r="B261" t="s">
        <v>440</v>
      </c>
      <c r="C261" t="s">
        <v>409</v>
      </c>
      <c r="D261">
        <f t="shared" si="4"/>
        <v>0</v>
      </c>
    </row>
    <row r="262" spans="1:4" ht="16">
      <c r="A262" s="3">
        <v>955</v>
      </c>
      <c r="B262" t="s">
        <v>441</v>
      </c>
      <c r="C262" t="s">
        <v>409</v>
      </c>
      <c r="D262">
        <f t="shared" si="4"/>
        <v>0</v>
      </c>
    </row>
    <row r="263" spans="1:4" ht="16">
      <c r="A263" s="3">
        <v>956</v>
      </c>
      <c r="B263" t="s">
        <v>442</v>
      </c>
      <c r="C263" t="s">
        <v>409</v>
      </c>
      <c r="D263">
        <f t="shared" si="4"/>
        <v>0</v>
      </c>
    </row>
    <row r="264" spans="1:4" ht="16">
      <c r="A264" s="3">
        <v>96</v>
      </c>
      <c r="B264" t="s">
        <v>443</v>
      </c>
      <c r="C264" t="s">
        <v>409</v>
      </c>
      <c r="D264">
        <f t="shared" si="4"/>
        <v>1</v>
      </c>
    </row>
    <row r="265" spans="1:4" ht="16">
      <c r="A265" s="3">
        <v>966</v>
      </c>
      <c r="B265" t="s">
        <v>444</v>
      </c>
      <c r="C265" t="s">
        <v>409</v>
      </c>
      <c r="D265">
        <f t="shared" si="4"/>
        <v>0</v>
      </c>
    </row>
    <row r="266" spans="1:4" ht="16">
      <c r="A266" s="3">
        <v>967</v>
      </c>
      <c r="B266" t="s">
        <v>445</v>
      </c>
      <c r="C266" t="s">
        <v>409</v>
      </c>
      <c r="D266">
        <f t="shared" ref="D266:D274" si="5">IF(EXACT(A266,LEFT(A267,LEN(A266))),1,0)</f>
        <v>0</v>
      </c>
    </row>
    <row r="267" spans="1:4" ht="16">
      <c r="A267" s="3">
        <v>968</v>
      </c>
      <c r="B267" t="s">
        <v>446</v>
      </c>
      <c r="C267" t="s">
        <v>409</v>
      </c>
      <c r="D267">
        <f t="shared" si="5"/>
        <v>0</v>
      </c>
    </row>
    <row r="268" spans="1:4" ht="16">
      <c r="A268" s="3">
        <v>969</v>
      </c>
      <c r="B268" t="s">
        <v>447</v>
      </c>
      <c r="C268" t="s">
        <v>409</v>
      </c>
      <c r="D268">
        <f t="shared" si="5"/>
        <v>0</v>
      </c>
    </row>
    <row r="269" spans="1:4" ht="16">
      <c r="A269" s="3">
        <v>97</v>
      </c>
      <c r="B269" t="s">
        <v>448</v>
      </c>
      <c r="C269" t="s">
        <v>409</v>
      </c>
      <c r="D269">
        <f t="shared" si="5"/>
        <v>1</v>
      </c>
    </row>
    <row r="270" spans="1:4" ht="16">
      <c r="A270" s="3">
        <v>973</v>
      </c>
      <c r="B270" t="s">
        <v>449</v>
      </c>
      <c r="C270" t="s">
        <v>409</v>
      </c>
      <c r="D270">
        <f t="shared" si="5"/>
        <v>0</v>
      </c>
    </row>
    <row r="271" spans="1:4" ht="16">
      <c r="A271" s="3">
        <v>974</v>
      </c>
      <c r="B271" t="s">
        <v>450</v>
      </c>
      <c r="C271" t="s">
        <v>409</v>
      </c>
      <c r="D271">
        <f t="shared" si="5"/>
        <v>0</v>
      </c>
    </row>
    <row r="272" spans="1:4" ht="16">
      <c r="A272" s="3">
        <v>98</v>
      </c>
      <c r="B272" t="s">
        <v>451</v>
      </c>
      <c r="C272" t="s">
        <v>409</v>
      </c>
      <c r="D272">
        <f t="shared" si="5"/>
        <v>1</v>
      </c>
    </row>
    <row r="273" spans="1:4" ht="16">
      <c r="A273" s="3">
        <v>981</v>
      </c>
      <c r="B273" t="s">
        <v>452</v>
      </c>
      <c r="C273" t="s">
        <v>409</v>
      </c>
      <c r="D273">
        <f t="shared" si="5"/>
        <v>0</v>
      </c>
    </row>
    <row r="274" spans="1:4" ht="16">
      <c r="A274" s="3">
        <v>99</v>
      </c>
      <c r="B274" t="s">
        <v>453</v>
      </c>
      <c r="C274" t="s">
        <v>409</v>
      </c>
      <c r="D274">
        <f t="shared" si="5"/>
        <v>0</v>
      </c>
    </row>
    <row r="275" spans="1:4" ht="16">
      <c r="A275" s="3"/>
    </row>
  </sheetData>
  <autoFilter ref="A1:D274" xr:uid="{6A53753F-04AB-5C41-8F00-B28C3B8EB09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6DF5-0D83-8E49-B1E7-0CD3D6879A29}">
  <dimension ref="A1:J1"/>
  <sheetViews>
    <sheetView tabSelected="1" workbookViewId="0">
      <selection activeCell="L32" sqref="L32"/>
    </sheetView>
  </sheetViews>
  <sheetFormatPr baseColWidth="10" defaultRowHeight="15"/>
  <cols>
    <col min="8" max="8" width="12.33203125" bestFit="1" customWidth="1"/>
    <col min="9" max="9" width="12.83203125" bestFit="1" customWidth="1"/>
  </cols>
  <sheetData>
    <row r="1" spans="1:10">
      <c r="A1" s="1" t="s">
        <v>638</v>
      </c>
      <c r="B1" s="1" t="s">
        <v>639</v>
      </c>
      <c r="C1" s="1" t="s">
        <v>640</v>
      </c>
      <c r="D1" s="1" t="s">
        <v>641</v>
      </c>
      <c r="E1" s="1" t="s">
        <v>642</v>
      </c>
      <c r="F1" s="1" t="s">
        <v>644</v>
      </c>
      <c r="G1" s="1" t="s">
        <v>643</v>
      </c>
      <c r="H1" s="1" t="s">
        <v>645</v>
      </c>
      <c r="I1" s="1" t="s">
        <v>646</v>
      </c>
      <c r="J1" s="1" t="s">
        <v>647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journal entries</vt:lpstr>
      <vt:lpstr>számlák</vt:lpstr>
      <vt:lpstr>tranzakciók</vt:lpstr>
      <vt:lpstr>számlarend</vt:lpstr>
      <vt:lpstr>Strapi.trx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Horvath, Peter</cp:lastModifiedBy>
  <dcterms:created xsi:type="dcterms:W3CDTF">2025-12-06T22:38:04Z</dcterms:created>
  <dcterms:modified xsi:type="dcterms:W3CDTF">2025-12-09T23:05:03Z</dcterms:modified>
</cp:coreProperties>
</file>